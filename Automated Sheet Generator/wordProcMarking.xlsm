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ThisWorkbook"/>
  <mc:AlternateContent xmlns:mc="http://schemas.openxmlformats.org/markup-compatibility/2006">
    <mc:Choice Requires="x15">
      <x15ac:absPath xmlns:x15ac="http://schemas.microsoft.com/office/spreadsheetml/2010/11/ac" url="/Users/jamiemccarthy/Desktop/Automated Sheet Generator/"/>
    </mc:Choice>
  </mc:AlternateContent>
  <xr:revisionPtr revIDLastSave="0" documentId="13_ncr:1_{206A3502-3D86-B54B-90CB-C0F9567EF073}" xr6:coauthVersionLast="47" xr6:coauthVersionMax="47" xr10:uidLastSave="{00000000-0000-0000-0000-000000000000}"/>
  <bookViews>
    <workbookView xWindow="0" yWindow="660" windowWidth="34560" windowHeight="20500" xr2:uid="{00000000-000D-0000-FFFF-FFFF00000000}"/>
  </bookViews>
  <sheets>
    <sheet name="config" sheetId="1" r:id="rId1"/>
    <sheet name="learnerList" sheetId="2" r:id="rId2"/>
    <sheet name="gradeSheet" sheetId="3" r:id="rId3"/>
    <sheet name="markingTemplate" sheetId="4" r:id="rId4"/>
    <sheet name="briefTemplate" sheetId="5" r:id="rId5"/>
    <sheet name="RunLog" sheetId="6" r:id="rId6"/>
  </sheets>
  <functionGroups builtInGroupCount="19"/>
  <definedNames>
    <definedName name="BriefNameCell">briefTemplate!$A$9</definedName>
    <definedName name="BriefProofScoreCell">briefTemplate!$A$9</definedName>
    <definedName name="BriefSectionTwoScoreCell">briefTemplate!$F$75</definedName>
    <definedName name="BriefSpeedScoreCell">briefTemplate!$F$29</definedName>
    <definedName name="LearnerNameCell">markingTemplate!$A$4</definedName>
    <definedName name="markingNameCell">markingTemplate!$F$2</definedName>
    <definedName name="SectionOneComp1">markingTemplate!$F$9</definedName>
    <definedName name="SectionOneComp2">markingTemplate!$F$10</definedName>
    <definedName name="SectionOneP1">markingTemplate!$G$6</definedName>
    <definedName name="SectionOneP2">markingTemplate!$G$12</definedName>
    <definedName name="SectionOneP3">markingTemplate!$G$20</definedName>
    <definedName name="SectionOneP4">markingTemplate!$G$27</definedName>
    <definedName name="SectionOneP5">markingTemplate!$G$33</definedName>
    <definedName name="SectionThreeP1">markingTemplate!$G$103</definedName>
    <definedName name="SectionThreeP2">markingTemplate!$G$105</definedName>
    <definedName name="SectionTwoP1">markingTemplate!$G$63</definedName>
    <definedName name="SectionTwoP2">markingTemplate!$G$66</definedName>
    <definedName name="SectionTwoP3">markingTemplate!$G$69</definedName>
    <definedName name="SectionTwoP4">markingTemplate!$G$72</definedName>
    <definedName name="SectionTwoP5">markingTemplate!$G$75</definedName>
    <definedName name="SectionTwoP6">markingTemplate!$G$79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9" i="3" l="1"/>
  <c r="F70" i="3"/>
  <c r="BO78" i="3"/>
  <c r="BO68" i="3"/>
  <c r="BO69" i="3"/>
  <c r="BO70" i="3"/>
  <c r="BO71" i="3"/>
  <c r="BO72" i="3"/>
  <c r="BO73" i="3"/>
  <c r="BO74" i="3"/>
  <c r="BO75" i="3"/>
  <c r="BO76" i="3"/>
  <c r="BO77" i="3"/>
  <c r="BO79" i="3"/>
  <c r="BO80" i="3"/>
  <c r="BO81" i="3"/>
  <c r="BO82" i="3"/>
  <c r="BO83" i="3"/>
  <c r="BO84" i="3"/>
  <c r="BO85" i="3"/>
  <c r="BO86" i="3"/>
  <c r="BO87" i="3"/>
  <c r="BO88" i="3"/>
  <c r="BO89" i="3"/>
  <c r="BO90" i="3"/>
  <c r="BO91" i="3"/>
  <c r="BO92" i="3"/>
  <c r="BO93" i="3"/>
  <c r="BO94" i="3"/>
  <c r="BO95" i="3"/>
  <c r="BO96" i="3"/>
  <c r="BO97" i="3"/>
  <c r="BO98" i="3"/>
  <c r="BO99" i="3"/>
  <c r="BO100" i="3"/>
  <c r="BO101" i="3"/>
  <c r="BO102" i="3"/>
  <c r="BO103" i="3"/>
  <c r="BO104" i="3"/>
  <c r="BO105" i="3"/>
  <c r="BO106" i="3"/>
  <c r="BO107" i="3"/>
  <c r="BO108" i="3"/>
  <c r="BO109" i="3"/>
  <c r="BO110" i="3"/>
  <c r="BO111" i="3"/>
  <c r="BO112" i="3"/>
  <c r="BO113" i="3"/>
  <c r="BO114" i="3"/>
  <c r="BO115" i="3"/>
  <c r="BO116" i="3"/>
  <c r="BO117" i="3"/>
  <c r="BO118" i="3"/>
  <c r="BO119" i="3"/>
  <c r="BO120" i="3"/>
  <c r="BO121" i="3"/>
  <c r="BO122" i="3"/>
  <c r="BO123" i="3"/>
  <c r="BO124" i="3"/>
  <c r="BO125" i="3"/>
  <c r="BO126" i="3"/>
  <c r="AY78" i="3"/>
  <c r="AY68" i="3"/>
  <c r="AY69" i="3"/>
  <c r="AY70" i="3"/>
  <c r="AY71" i="3"/>
  <c r="AY72" i="3"/>
  <c r="AY73" i="3"/>
  <c r="AY74" i="3"/>
  <c r="AY75" i="3"/>
  <c r="AY76" i="3"/>
  <c r="AY77" i="3"/>
  <c r="AY79" i="3"/>
  <c r="AY80" i="3"/>
  <c r="AY81" i="3"/>
  <c r="AY82" i="3"/>
  <c r="AY83" i="3"/>
  <c r="AY84" i="3"/>
  <c r="AY85" i="3"/>
  <c r="AY86" i="3"/>
  <c r="AY87" i="3"/>
  <c r="AY88" i="3"/>
  <c r="AY89" i="3"/>
  <c r="AY90" i="3"/>
  <c r="AY91" i="3"/>
  <c r="AY92" i="3"/>
  <c r="AY93" i="3"/>
  <c r="AY94" i="3"/>
  <c r="AY95" i="3"/>
  <c r="AY96" i="3"/>
  <c r="AY97" i="3"/>
  <c r="AY98" i="3"/>
  <c r="AY99" i="3"/>
  <c r="AY100" i="3"/>
  <c r="AY101" i="3"/>
  <c r="AY102" i="3"/>
  <c r="AY103" i="3"/>
  <c r="AY104" i="3"/>
  <c r="AY105" i="3"/>
  <c r="AY106" i="3"/>
  <c r="AY107" i="3"/>
  <c r="AY108" i="3"/>
  <c r="AY109" i="3"/>
  <c r="AY110" i="3"/>
  <c r="AY111" i="3"/>
  <c r="AY112" i="3"/>
  <c r="AY113" i="3"/>
  <c r="AY114" i="3"/>
  <c r="AY115" i="3"/>
  <c r="AY116" i="3"/>
  <c r="AY117" i="3"/>
  <c r="AY118" i="3"/>
  <c r="AY119" i="3"/>
  <c r="AY120" i="3"/>
  <c r="AY121" i="3"/>
  <c r="AY122" i="3"/>
  <c r="AY123" i="3"/>
  <c r="AY124" i="3"/>
  <c r="AY125" i="3"/>
  <c r="AY126"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4" i="3"/>
  <c r="AY67" i="3"/>
  <c r="BV67" i="3"/>
  <c r="BO67"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30"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67" i="3"/>
  <c r="A110" i="5"/>
  <c r="F54" i="4"/>
  <c r="G86" i="4"/>
  <c r="G38" i="4"/>
  <c r="F68"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67" i="3"/>
  <c r="AG131" i="3"/>
  <c r="AG132" i="3"/>
  <c r="AG133" i="3"/>
  <c r="AG134" i="3"/>
  <c r="AG135" i="3"/>
  <c r="AG136" i="3"/>
  <c r="AG137" i="3"/>
  <c r="AG138" i="3"/>
  <c r="AG139" i="3"/>
  <c r="AG140" i="3"/>
  <c r="AG141" i="3"/>
  <c r="AG142" i="3"/>
  <c r="AG143" i="3"/>
  <c r="AG144" i="3"/>
  <c r="AG145" i="3"/>
  <c r="AG146" i="3"/>
  <c r="AG147" i="3"/>
  <c r="AG148" i="3"/>
  <c r="AG149" i="3"/>
  <c r="AG150" i="3"/>
  <c r="AG151" i="3"/>
  <c r="AG152" i="3"/>
  <c r="AG153" i="3"/>
  <c r="AG154" i="3"/>
  <c r="AG155" i="3"/>
  <c r="AG156" i="3"/>
  <c r="AG157" i="3"/>
  <c r="AG158" i="3"/>
  <c r="AG159" i="3"/>
  <c r="AG160" i="3"/>
  <c r="AG161" i="3"/>
  <c r="AG162" i="3"/>
  <c r="AG163" i="3"/>
  <c r="AG164" i="3"/>
  <c r="AG165" i="3"/>
  <c r="AG166" i="3"/>
  <c r="AG167" i="3"/>
  <c r="AG168" i="3"/>
  <c r="AG169" i="3"/>
  <c r="AG170" i="3"/>
  <c r="AG171" i="3"/>
  <c r="AG172" i="3"/>
  <c r="AG173" i="3"/>
  <c r="AG174" i="3"/>
  <c r="AG175" i="3"/>
  <c r="AG176" i="3"/>
  <c r="AG177" i="3"/>
  <c r="AG178" i="3"/>
  <c r="AG179" i="3"/>
  <c r="AG180" i="3"/>
  <c r="AG181" i="3"/>
  <c r="AG182" i="3"/>
  <c r="AG183" i="3"/>
  <c r="AG184" i="3"/>
  <c r="AG185" i="3"/>
  <c r="AG186" i="3"/>
  <c r="AG187" i="3"/>
  <c r="AG188" i="3"/>
  <c r="AG189" i="3"/>
  <c r="AG130" i="3"/>
  <c r="AH131" i="3" l="1"/>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30" i="3"/>
  <c r="BV68" i="3"/>
  <c r="BV69" i="3"/>
  <c r="BV70" i="3"/>
  <c r="BV71" i="3"/>
  <c r="BV72" i="3"/>
  <c r="BV73" i="3"/>
  <c r="BV74" i="3"/>
  <c r="BV75" i="3"/>
  <c r="BV76" i="3"/>
  <c r="BV77" i="3"/>
  <c r="BV78" i="3"/>
  <c r="BV79" i="3"/>
  <c r="BV80" i="3"/>
  <c r="BV81" i="3"/>
  <c r="BV82" i="3"/>
  <c r="BV83" i="3"/>
  <c r="BV84" i="3"/>
  <c r="BV85" i="3"/>
  <c r="BV86" i="3"/>
  <c r="BV87" i="3"/>
  <c r="BV88" i="3"/>
  <c r="BV89" i="3"/>
  <c r="BV90" i="3"/>
  <c r="BV91" i="3"/>
  <c r="BV92" i="3"/>
  <c r="BV93" i="3"/>
  <c r="BV94" i="3"/>
  <c r="BV95" i="3"/>
  <c r="BV96" i="3"/>
  <c r="BV97" i="3"/>
  <c r="BV98" i="3"/>
  <c r="BV99" i="3"/>
  <c r="BV100" i="3"/>
  <c r="BV101" i="3"/>
  <c r="BV102" i="3"/>
  <c r="BV103" i="3"/>
  <c r="BV104" i="3"/>
  <c r="BV105" i="3"/>
  <c r="BV106" i="3"/>
  <c r="BV107" i="3"/>
  <c r="BV108" i="3"/>
  <c r="BV109" i="3"/>
  <c r="BV110" i="3"/>
  <c r="BV111" i="3"/>
  <c r="BV112" i="3"/>
  <c r="BV113" i="3"/>
  <c r="BV114" i="3"/>
  <c r="BV115" i="3"/>
  <c r="BV116" i="3"/>
  <c r="BV117" i="3"/>
  <c r="BV118" i="3"/>
  <c r="BV119" i="3"/>
  <c r="BV120" i="3"/>
  <c r="BV121" i="3"/>
  <c r="BV122" i="3"/>
  <c r="BV123" i="3"/>
  <c r="BV124" i="3"/>
  <c r="BV125" i="3"/>
  <c r="BV126"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67" i="3"/>
  <c r="AK68" i="3"/>
  <c r="AK69" i="3"/>
  <c r="AK70" i="3"/>
  <c r="AK71" i="3"/>
  <c r="AK72" i="3"/>
  <c r="AK73" i="3"/>
  <c r="AK74" i="3"/>
  <c r="AK75" i="3"/>
  <c r="AK76" i="3"/>
  <c r="AK77" i="3"/>
  <c r="AK78" i="3"/>
  <c r="AK79" i="3"/>
  <c r="AK80" i="3"/>
  <c r="AK81" i="3"/>
  <c r="AK82" i="3"/>
  <c r="AK83" i="3"/>
  <c r="AK84" i="3"/>
  <c r="AK85" i="3"/>
  <c r="AK86" i="3"/>
  <c r="AK87" i="3"/>
  <c r="AK88" i="3"/>
  <c r="AK89" i="3"/>
  <c r="AK90" i="3"/>
  <c r="AK91" i="3"/>
  <c r="AK92" i="3"/>
  <c r="AK93" i="3"/>
  <c r="AK94" i="3"/>
  <c r="AK95" i="3"/>
  <c r="AK96" i="3"/>
  <c r="AK97" i="3"/>
  <c r="AK98" i="3"/>
  <c r="AK99" i="3"/>
  <c r="AK100" i="3"/>
  <c r="AK101" i="3"/>
  <c r="AK102" i="3"/>
  <c r="AK103" i="3"/>
  <c r="AK104" i="3"/>
  <c r="AK105" i="3"/>
  <c r="AK106" i="3"/>
  <c r="AK107" i="3"/>
  <c r="AK108" i="3"/>
  <c r="AK109" i="3"/>
  <c r="AK110" i="3"/>
  <c r="AK111" i="3"/>
  <c r="AK112" i="3"/>
  <c r="AK113" i="3"/>
  <c r="AK114" i="3"/>
  <c r="AK115" i="3"/>
  <c r="AK116" i="3"/>
  <c r="AK117" i="3"/>
  <c r="AK118" i="3"/>
  <c r="AK119" i="3"/>
  <c r="AK120" i="3"/>
  <c r="AK121" i="3"/>
  <c r="AK122" i="3"/>
  <c r="AK123" i="3"/>
  <c r="AK124" i="3"/>
  <c r="AK125" i="3"/>
  <c r="AK126" i="3"/>
  <c r="AK67" i="3"/>
  <c r="BX119" i="3" l="1"/>
  <c r="BX91" i="3"/>
  <c r="BX76" i="3"/>
  <c r="BX118" i="3"/>
  <c r="BY118" i="3" s="1"/>
  <c r="BX105" i="3"/>
  <c r="D42" i="3" s="1"/>
  <c r="BX77" i="3"/>
  <c r="BX104" i="3"/>
  <c r="D41" i="3" s="1"/>
  <c r="BX90" i="3"/>
  <c r="BY90" i="3" s="1"/>
  <c r="BX69" i="3"/>
  <c r="BY69" i="3" s="1"/>
  <c r="BX122" i="3"/>
  <c r="D59" i="3" s="1"/>
  <c r="I59" i="3" s="1"/>
  <c r="BX108" i="3"/>
  <c r="D45" i="3" s="1"/>
  <c r="BX94" i="3"/>
  <c r="D31" i="3" s="1"/>
  <c r="BX80" i="3"/>
  <c r="D17" i="3" s="1"/>
  <c r="I17" i="3" s="1"/>
  <c r="BX121" i="3"/>
  <c r="D58" i="3" s="1"/>
  <c r="I58" i="3" s="1"/>
  <c r="BX107" i="3"/>
  <c r="D44" i="3" s="1"/>
  <c r="BX93" i="3"/>
  <c r="D30" i="3" s="1"/>
  <c r="BX79" i="3"/>
  <c r="BX111" i="3"/>
  <c r="BX68" i="3"/>
  <c r="BY68" i="3" s="1"/>
  <c r="BX82" i="3"/>
  <c r="BY82" i="3" s="1"/>
  <c r="BX81" i="3"/>
  <c r="D18" i="3" s="1"/>
  <c r="I18" i="3" s="1"/>
  <c r="BX125" i="3"/>
  <c r="BY125" i="3" s="1"/>
  <c r="BX96" i="3"/>
  <c r="BY96" i="3" s="1"/>
  <c r="BX92" i="3"/>
  <c r="BY92" i="3" s="1"/>
  <c r="BX85" i="3"/>
  <c r="D22" i="3" s="1"/>
  <c r="BX89" i="3"/>
  <c r="BY89" i="3" s="1"/>
  <c r="BX110" i="3"/>
  <c r="BY110" i="3" s="1"/>
  <c r="BX109" i="3"/>
  <c r="D46" i="3" s="1"/>
  <c r="I46" i="3" s="1"/>
  <c r="BX106" i="3"/>
  <c r="BY106" i="3" s="1"/>
  <c r="BX113" i="3"/>
  <c r="BY113" i="3" s="1"/>
  <c r="BX71" i="3"/>
  <c r="BX75" i="3"/>
  <c r="BX112" i="3"/>
  <c r="BX98" i="3"/>
  <c r="BY98" i="3" s="1"/>
  <c r="BX84" i="3"/>
  <c r="BY84" i="3" s="1"/>
  <c r="BX70" i="3"/>
  <c r="BY70" i="3" s="1"/>
  <c r="BX116" i="3"/>
  <c r="BY116" i="3" s="1"/>
  <c r="BX102" i="3"/>
  <c r="D39" i="3" s="1"/>
  <c r="I39" i="3" s="1"/>
  <c r="BX88" i="3"/>
  <c r="BY88" i="3" s="1"/>
  <c r="BX74" i="3"/>
  <c r="BY74" i="3" s="1"/>
  <c r="BX83" i="3"/>
  <c r="BY83" i="3" s="1"/>
  <c r="BX124" i="3"/>
  <c r="BY124" i="3" s="1"/>
  <c r="BX95" i="3"/>
  <c r="D32" i="3" s="1"/>
  <c r="BX78" i="3"/>
  <c r="BY78" i="3" s="1"/>
  <c r="BX67" i="3"/>
  <c r="D4" i="3" s="1"/>
  <c r="BX103" i="3"/>
  <c r="D40" i="3" s="1"/>
  <c r="BX126" i="3"/>
  <c r="BY126" i="3" s="1"/>
  <c r="BX115" i="3"/>
  <c r="BY115" i="3" s="1"/>
  <c r="BX101" i="3"/>
  <c r="D38" i="3" s="1"/>
  <c r="I38" i="3" s="1"/>
  <c r="BX87" i="3"/>
  <c r="BY87" i="3" s="1"/>
  <c r="BX73" i="3"/>
  <c r="BY73" i="3" s="1"/>
  <c r="BX97" i="3"/>
  <c r="BY97" i="3" s="1"/>
  <c r="BX123" i="3"/>
  <c r="D60" i="3" s="1"/>
  <c r="I60" i="3" s="1"/>
  <c r="BX120" i="3"/>
  <c r="D57" i="3" s="1"/>
  <c r="I57" i="3" s="1"/>
  <c r="BX99" i="3"/>
  <c r="BY99" i="3" s="1"/>
  <c r="BX117" i="3"/>
  <c r="BY117" i="3" s="1"/>
  <c r="BX114" i="3"/>
  <c r="D51" i="3" s="1"/>
  <c r="BX100" i="3"/>
  <c r="BY100" i="3" s="1"/>
  <c r="BX86" i="3"/>
  <c r="D23" i="3" s="1"/>
  <c r="BX72" i="3"/>
  <c r="BY79" i="3"/>
  <c r="BY91" i="3"/>
  <c r="BY111" i="3"/>
  <c r="BY112" i="3"/>
  <c r="D56" i="3"/>
  <c r="I56" i="3" l="1"/>
  <c r="I14" i="3"/>
  <c r="I32" i="3"/>
  <c r="I31" i="3"/>
  <c r="I41" i="3"/>
  <c r="I42" i="3"/>
  <c r="I40" i="3"/>
  <c r="I30" i="3"/>
  <c r="I45" i="3"/>
  <c r="I44" i="3"/>
  <c r="I51" i="3"/>
  <c r="I11" i="3"/>
  <c r="I12" i="3"/>
  <c r="D28" i="3"/>
  <c r="I28" i="3" s="1"/>
  <c r="D52" i="3"/>
  <c r="BY103" i="3"/>
  <c r="D25" i="3"/>
  <c r="I25" i="3" s="1"/>
  <c r="BY102" i="3"/>
  <c r="D27" i="3"/>
  <c r="I27" i="3" s="1"/>
  <c r="D26" i="3"/>
  <c r="I26" i="3" s="1"/>
  <c r="D24" i="3"/>
  <c r="I24" i="3" s="1"/>
  <c r="BY101" i="3"/>
  <c r="D33" i="3"/>
  <c r="BY108" i="3"/>
  <c r="D34" i="3"/>
  <c r="BY95" i="3"/>
  <c r="I13" i="3"/>
  <c r="BY94" i="3"/>
  <c r="D35" i="3"/>
  <c r="I35" i="3" s="1"/>
  <c r="I4" i="3"/>
  <c r="BY122" i="3"/>
  <c r="BY80" i="3"/>
  <c r="D21" i="3"/>
  <c r="BY123" i="3"/>
  <c r="D19" i="3"/>
  <c r="I19" i="3" s="1"/>
  <c r="D49" i="3"/>
  <c r="I49" i="3" s="1"/>
  <c r="BY75" i="3"/>
  <c r="D50" i="3"/>
  <c r="I50" i="3" s="1"/>
  <c r="D48" i="3"/>
  <c r="I48" i="3" s="1"/>
  <c r="D20" i="3"/>
  <c r="I20" i="3" s="1"/>
  <c r="BY81" i="3"/>
  <c r="D47" i="3"/>
  <c r="I47" i="3" s="1"/>
  <c r="BY109" i="3"/>
  <c r="BY121" i="3"/>
  <c r="BY107" i="3"/>
  <c r="BY93" i="3"/>
  <c r="D63" i="3"/>
  <c r="I63" i="3" s="1"/>
  <c r="BY120" i="3"/>
  <c r="D62" i="3"/>
  <c r="I62" i="3" s="1"/>
  <c r="I9" i="3"/>
  <c r="BY119" i="3"/>
  <c r="BY105" i="3"/>
  <c r="BY77" i="3"/>
  <c r="D61" i="3"/>
  <c r="I61" i="3" s="1"/>
  <c r="I8" i="3"/>
  <c r="BY104" i="3"/>
  <c r="BY76" i="3"/>
  <c r="BY72" i="3"/>
  <c r="I22" i="3"/>
  <c r="BY67" i="3"/>
  <c r="BY85" i="3"/>
  <c r="BY71" i="3"/>
  <c r="I23" i="3"/>
  <c r="BY86" i="3"/>
  <c r="BY114" i="3"/>
  <c r="I6" i="3"/>
  <c r="D5" i="3"/>
  <c r="I5" i="3" s="1"/>
  <c r="D54" i="3"/>
  <c r="I54" i="3" s="1"/>
  <c r="D55" i="3"/>
  <c r="I55" i="3" s="1"/>
  <c r="D43" i="3"/>
  <c r="I43" i="3" s="1"/>
  <c r="I15" i="3"/>
  <c r="D53" i="3"/>
  <c r="D37" i="3"/>
  <c r="I37" i="3" s="1"/>
  <c r="D36" i="3"/>
  <c r="I36" i="3" s="1"/>
  <c r="D16" i="3"/>
  <c r="I16" i="3" s="1"/>
  <c r="D29" i="3"/>
  <c r="I29" i="3" s="1"/>
  <c r="I52" i="3" l="1"/>
  <c r="I53" i="3"/>
  <c r="I7" i="3"/>
  <c r="I34" i="3"/>
  <c r="I33" i="3"/>
  <c r="I21" i="3"/>
  <c r="I10" i="3"/>
  <c r="M61" i="3" l="1"/>
  <c r="M63" i="3"/>
  <c r="M62" i="3"/>
  <c r="M60" i="3"/>
</calcChain>
</file>

<file path=xl/sharedStrings.xml><?xml version="1.0" encoding="utf-8"?>
<sst xmlns="http://schemas.openxmlformats.org/spreadsheetml/2006/main" count="305" uniqueCount="211">
  <si>
    <t>Setting</t>
  </si>
  <si>
    <t>Value</t>
  </si>
  <si>
    <t>learnerListRange</t>
  </si>
  <si>
    <t>learnerList!A2:A200</t>
  </si>
  <si>
    <t>markingTemplateName</t>
  </si>
  <si>
    <t>markingTemplate</t>
  </si>
  <si>
    <t>briefTemplateName</t>
  </si>
  <si>
    <t>briefTemplate</t>
  </si>
  <si>
    <t>markingNameCell</t>
  </si>
  <si>
    <t>LearnerNameCell</t>
  </si>
  <si>
    <t>briefNameCell</t>
  </si>
  <si>
    <t>BriefNameCell</t>
  </si>
  <si>
    <t>splitMarkingSheets</t>
  </si>
  <si>
    <t>markingPageRanges</t>
  </si>
  <si>
    <t>1–43;44–86;87–129</t>
  </si>
  <si>
    <t>briefsFolder</t>
  </si>
  <si>
    <t>./Briefs</t>
  </si>
  <si>
    <t>markingFolder</t>
  </si>
  <si>
    <t>./MarkingSheets</t>
  </si>
  <si>
    <t>Learner Names</t>
  </si>
  <si>
    <t>*</t>
  </si>
  <si>
    <t>Maximum Mark</t>
  </si>
  <si>
    <t>Learner Mark</t>
  </si>
  <si>
    <t>Yes</t>
  </si>
  <si>
    <t>Course Name &amp; Code</t>
  </si>
  <si>
    <t>General Learning 4M2010</t>
  </si>
  <si>
    <t>Component Title &amp; Code</t>
  </si>
  <si>
    <t>Date Assigned</t>
  </si>
  <si>
    <t>Date Due</t>
  </si>
  <si>
    <t>Assessment Technique</t>
  </si>
  <si>
    <t>Examination</t>
  </si>
  <si>
    <t>Brief Number</t>
  </si>
  <si>
    <t>Jamie McCarthy</t>
  </si>
  <si>
    <t>Is this brief used for integrated assessment?</t>
  </si>
  <si>
    <t>Information Technology Skills 4N1125</t>
  </si>
  <si>
    <t>No</t>
  </si>
  <si>
    <t>Date :</t>
  </si>
  <si>
    <t>Overall Scores</t>
  </si>
  <si>
    <t>Learner Name</t>
  </si>
  <si>
    <t>Section 1 Grade</t>
  </si>
  <si>
    <t>Secton 2 Grade</t>
  </si>
  <si>
    <t>Overall Grade</t>
  </si>
  <si>
    <t>Question:</t>
  </si>
  <si>
    <t>% Grade</t>
  </si>
  <si>
    <t>Data Validation</t>
  </si>
  <si>
    <t>Section 1 Submit?</t>
  </si>
  <si>
    <t>Section 2 Submit?</t>
  </si>
  <si>
    <t>gradeSheet!A193:H252</t>
  </si>
  <si>
    <t>sectionTwoRange</t>
  </si>
  <si>
    <t>Distinctions</t>
  </si>
  <si>
    <t>Merits</t>
  </si>
  <si>
    <t>Pass'</t>
  </si>
  <si>
    <t>Unsuccessfuls</t>
  </si>
  <si>
    <t>Notes</t>
  </si>
  <si>
    <t>This is the range in "learnerList" where all Learner names can be found. Check the spelling as the system won't work if it is wrong.</t>
  </si>
  <si>
    <t>This is the relative path from this Workbook where the Briefs will be exported as PDFs</t>
  </si>
  <si>
    <t>This is the relative path from this Workbook where the Marking Sheets will be exported as PDFs</t>
  </si>
  <si>
    <t>This is the cell range of the Marking Sheets to they can be exported as individual pages</t>
  </si>
  <si>
    <t>This is the toggle for whether or not separate Marking Sheets will be generated</t>
  </si>
  <si>
    <t>This is the holder for the Marking Sheet</t>
  </si>
  <si>
    <t>This is the holder for the Brief</t>
  </si>
  <si>
    <t>This is where the Learner Name will be entered into the Brief. The CELL needs to be named this</t>
  </si>
  <si>
    <t>This is where the Learner Name will be entered into the Marking Sheet. The CELL needs to be named this</t>
  </si>
  <si>
    <t>This is the area where the Learner Names and Scores for Section 2 can be found. The range MUST start at the Learner Name and end on the FINAL GRADE</t>
  </si>
  <si>
    <t>sectionOneRange</t>
  </si>
  <si>
    <t>This is the area where the Learner Names and Scores for Section 1 can be found. The range MUST start at the Learner Name and end on the FINAL GRADE</t>
  </si>
  <si>
    <t>This is the area where the Learner Names and Scores for Section 3 can be found. The range MUST start at the Learner Name and end on the FINAL GRADE</t>
  </si>
  <si>
    <t>sectionOneP1</t>
  </si>
  <si>
    <t>SectionOneP1</t>
  </si>
  <si>
    <t>sectionTwoP1</t>
  </si>
  <si>
    <t>SectionTwoP1</t>
  </si>
  <si>
    <t>sectionThreeRange</t>
  </si>
  <si>
    <t>This is where the 1st grade for Section 1 will go in the Marking Sheet. The cell MUST have the correct name.</t>
  </si>
  <si>
    <t>This is where the 1st grade for Section 2 will go in the Marking Sheet. The cell MUST have the correct name.</t>
  </si>
  <si>
    <t>This is where the 1st grade for Section 3 will go in the Marking Sheet. The cell MUST have the correct name.</t>
  </si>
  <si>
    <t>This is where the 2nd grade for Section 3 will go in the Marking Sheet. The cell MUST have the correct name.</t>
  </si>
  <si>
    <t>This is where the 1st competancy for Section 1 will go in the Marking Sheet. The cell MUST have the correct name.</t>
  </si>
  <si>
    <t>This is where the 2nd competancy for Section 1 will go in the Marking Sheet. The cell MUST have the correct name.</t>
  </si>
  <si>
    <t>Word Processing</t>
  </si>
  <si>
    <t>Section 1 - Collection of Work</t>
  </si>
  <si>
    <t>Total /70</t>
  </si>
  <si>
    <t>Task 1 Total</t>
  </si>
  <si>
    <t>Task 2 Total</t>
  </si>
  <si>
    <t>Task 3 Total</t>
  </si>
  <si>
    <t>Task 4 Total</t>
  </si>
  <si>
    <t>Task 5 Total</t>
  </si>
  <si>
    <t>1.10</t>
  </si>
  <si>
    <t>2.10</t>
  </si>
  <si>
    <t>1.14 (Task 1)</t>
  </si>
  <si>
    <t>2.12 (Task 1)</t>
  </si>
  <si>
    <t>2.13 (Task 1)</t>
  </si>
  <si>
    <t>12     (Task 1)</t>
  </si>
  <si>
    <t>14     (Task 1)</t>
  </si>
  <si>
    <t>(Task 1)</t>
  </si>
  <si>
    <t>Section 2 - Examination</t>
  </si>
  <si>
    <t>Total /30</t>
  </si>
  <si>
    <t>Individual Learner Marking Sheet</t>
  </si>
  <si>
    <t>Learner Name:</t>
  </si>
  <si>
    <t>Word Processing 4N1123</t>
  </si>
  <si>
    <t>Assessment Technique:</t>
  </si>
  <si>
    <t>Collection of Work - 70%</t>
  </si>
  <si>
    <t>Assessment Criteria:</t>
  </si>
  <si>
    <t>File Management</t>
  </si>
  <si>
    <t>Created and managed an organised folder structure</t>
  </si>
  <si>
    <t>All documents saved with appropriate filenames and to specified location(s)</t>
  </si>
  <si>
    <t>Document Creation - Text</t>
  </si>
  <si>
    <t>Text inserted accurately</t>
  </si>
  <si>
    <t>Characters and paragraphs formatted</t>
  </si>
  <si>
    <t>Document reviewed for errors and accessibility</t>
  </si>
  <si>
    <t>Additional relevant elements (i.e. page setup, printing) appropriately applied</t>
  </si>
  <si>
    <t>Document  Creation - Graphics</t>
  </si>
  <si>
    <t>Graphics (images, shapes, etc) inserted and formatted</t>
  </si>
  <si>
    <t>Additional relevant elements (i.e. text formatting, page setup) appropriately applied</t>
  </si>
  <si>
    <t>Document Creation - Tables</t>
  </si>
  <si>
    <t>Tables inserted and formatted</t>
  </si>
  <si>
    <t>Primary Functions &amp; Processes</t>
  </si>
  <si>
    <t>Illustration of features, functions and processes of word processing application</t>
  </si>
  <si>
    <t>Total Mark :</t>
  </si>
  <si>
    <t>Assessor's Signature :</t>
  </si>
  <si>
    <t>External Authenticator's Signature :</t>
  </si>
  <si>
    <t>Examination - 30%</t>
  </si>
  <si>
    <t>The learner will show evidence that they can recall a word processing document from a specified location and apply the following changes :</t>
  </si>
  <si>
    <t>Page Setup correctly</t>
  </si>
  <si>
    <t>Text inserted</t>
  </si>
  <si>
    <t>Object(s) inserted and formatted</t>
  </si>
  <si>
    <t>Review tools used to correct any errors and check accessibility</t>
  </si>
  <si>
    <t>File located</t>
  </si>
  <si>
    <t>Files saved in different formats to specified location(s)</t>
  </si>
  <si>
    <t>File printed/ shared</t>
  </si>
  <si>
    <t>sectionOneP2</t>
  </si>
  <si>
    <t>sectionOneP3</t>
  </si>
  <si>
    <t>sectionOneP4</t>
  </si>
  <si>
    <t>sectionOneP5</t>
  </si>
  <si>
    <t>sectionTwoP2</t>
  </si>
  <si>
    <t>sectionTwoP3</t>
  </si>
  <si>
    <t>sectionTwoP4</t>
  </si>
  <si>
    <t>sectionTwoP5</t>
  </si>
  <si>
    <t>sectionTwoP6</t>
  </si>
  <si>
    <t>SectionTwoP2</t>
  </si>
  <si>
    <t>SectionTwoP3</t>
  </si>
  <si>
    <t>SectionTwoP4</t>
  </si>
  <si>
    <t>SectionTwoP5</t>
  </si>
  <si>
    <t>SectionTwoP6</t>
  </si>
  <si>
    <t>SectionOneP2</t>
  </si>
  <si>
    <t>SectionOneP3</t>
  </si>
  <si>
    <t>SectionOneP4</t>
  </si>
  <si>
    <t>SectionOneP5</t>
  </si>
  <si>
    <t>gradeSheet!A67:BY126</t>
  </si>
  <si>
    <t>gradeSheet!A130:AH189</t>
  </si>
  <si>
    <t>Assesment Brief - Collection of Work - 70%</t>
  </si>
  <si>
    <t>Weighting of Brief</t>
  </si>
  <si>
    <t>Collection of Work</t>
  </si>
  <si>
    <t>Learner Name (Print)</t>
  </si>
  <si>
    <t>1 of 2</t>
  </si>
  <si>
    <t>Subject Teacher Name (Print)</t>
  </si>
  <si>
    <t>Name and Code of Associated Module</t>
  </si>
  <si>
    <r>
      <t xml:space="preserve">Overview : </t>
    </r>
    <r>
      <rPr>
        <sz val="12"/>
        <color theme="1"/>
        <rFont val="Calibri"/>
        <family val="2"/>
        <scheme val="minor"/>
      </rPr>
      <t>In this assesment you wull have the opportunity to show evidence of the achivement of MIMLOs 1, 2 and 3.</t>
    </r>
  </si>
  <si>
    <t>MIMLOs covered by this assessment :</t>
  </si>
  <si>
    <t>MIMLO 1 : Illustrate the common features, functions and processes involved in word processing.</t>
  </si>
  <si>
    <t>MIMLO 2 : Apply file management features using appropriately skills and tools</t>
  </si>
  <si>
    <t>MIMLO 3 : Create documents using a moderate range of word processing features, functions and tools.</t>
  </si>
  <si>
    <t xml:space="preserve">Assessment Details : </t>
  </si>
  <si>
    <r>
      <t xml:space="preserve">Scenario : </t>
    </r>
    <r>
      <rPr>
        <sz val="12"/>
        <color theme="1"/>
        <rFont val="Calibri"/>
        <family val="2"/>
        <scheme val="minor"/>
      </rPr>
      <t>As and employee of the Bank of Newtown, your supervisor has tasked you with preparing the following docuemnts ;</t>
    </r>
  </si>
  <si>
    <r>
      <t xml:space="preserve">Task 2 : </t>
    </r>
    <r>
      <rPr>
        <sz val="12"/>
        <color theme="1"/>
        <rFont val="Calibri"/>
        <family val="2"/>
        <scheme val="minor"/>
      </rPr>
      <t>A letter notifying a customer of changes to their savings account.</t>
    </r>
  </si>
  <si>
    <r>
      <t xml:space="preserve">Task 2 : </t>
    </r>
    <r>
      <rPr>
        <sz val="12"/>
        <color theme="1"/>
        <rFont val="Calibri"/>
        <family val="2"/>
        <scheme val="minor"/>
      </rPr>
      <t>A leaflet detailing the steps for customers to register for online banking.</t>
    </r>
  </si>
  <si>
    <r>
      <t xml:space="preserve">Task 3 : </t>
    </r>
    <r>
      <rPr>
        <sz val="12"/>
        <color theme="1"/>
        <rFont val="Calibri"/>
        <family val="2"/>
        <scheme val="minor"/>
      </rPr>
      <t>A poster promoting savings inquiries for both current and potential customers</t>
    </r>
  </si>
  <si>
    <r>
      <t xml:space="preserve">Task 4 : </t>
    </r>
    <r>
      <rPr>
        <sz val="12"/>
        <color theme="1"/>
        <rFont val="Calibri"/>
        <family val="2"/>
        <scheme val="minor"/>
      </rPr>
      <t>A form (using a table) for individuals to request a callback from the bank.</t>
    </r>
  </si>
  <si>
    <t xml:space="preserve">The Collection of Work is divied into five individual tasks as listed below, and includes : </t>
  </si>
  <si>
    <r>
      <t xml:space="preserve">Task 1 File Management: </t>
    </r>
    <r>
      <rPr>
        <sz val="12"/>
        <color theme="1"/>
        <rFont val="Calibri"/>
        <family val="2"/>
        <scheme val="minor"/>
      </rPr>
      <t>(MIMLO 2) creating and organising a logical and efficient folder structure to store and retrieve files easily. This includes naming folders and files clearly which supports easy access and ongoing file management throughout the Collection of Work.</t>
    </r>
  </si>
  <si>
    <r>
      <t xml:space="preserve">Task 2 Document Creation: </t>
    </r>
    <r>
      <rPr>
        <sz val="12"/>
        <color theme="1"/>
        <rFont val="Calibri"/>
        <family val="2"/>
        <scheme val="minor"/>
      </rPr>
      <t>(MIMLO 3) inserting and formatting text, formatting paragraphs, use of review tools, saving, printing.</t>
    </r>
  </si>
  <si>
    <r>
      <t>Task 3 Document Creation - Graphics:</t>
    </r>
    <r>
      <rPr>
        <sz val="12"/>
        <color theme="1"/>
        <rFont val="Calibri"/>
        <family val="2"/>
        <scheme val="minor"/>
      </rPr>
      <t xml:space="preserve"> (MIMLO 3) inserting and formatting graphics</t>
    </r>
  </si>
  <si>
    <r>
      <t>Task 4 Document Creation - Tables:</t>
    </r>
    <r>
      <rPr>
        <sz val="12"/>
        <color theme="1"/>
        <rFont val="Calibri"/>
        <family val="2"/>
        <scheme val="minor"/>
      </rPr>
      <t xml:space="preserve"> (MIMLO 3) inserting and manipulating tables.</t>
    </r>
  </si>
  <si>
    <r>
      <rPr>
        <b/>
        <sz val="12"/>
        <color theme="1"/>
        <rFont val="Calibri"/>
        <family val="2"/>
        <scheme val="minor"/>
      </rPr>
      <t>Task 4 Primary Functions and Processes:</t>
    </r>
    <r>
      <rPr>
        <sz val="12"/>
        <color theme="1"/>
        <rFont val="Calibri"/>
        <family val="2"/>
        <scheme val="minor"/>
      </rPr>
      <t xml:space="preserve"> (MIMLO 1) In this task, you will be assessed on your ability to demonstrate a thorough understanding of these features, functions, and processess of the word processing application. This task provides the opportunity to reflect the knowledge and practical skills you have developed over the course of the module, showing how you can effectively apply these elements to complete tasks with accuracy and confidence.</t>
    </r>
  </si>
  <si>
    <t>Assessment Criteria :</t>
  </si>
  <si>
    <t>Your collection of work will be evaluated based on the following criteria :</t>
  </si>
  <si>
    <t>Task</t>
  </si>
  <si>
    <t>Max Mark</t>
  </si>
  <si>
    <t xml:space="preserve">Task 1 - File Management </t>
  </si>
  <si>
    <t>Task 2 - Cosument Creaton (Text)</t>
  </si>
  <si>
    <t>Task 3 - Document Creation (Graphics)</t>
  </si>
  <si>
    <t>Task 4 - Document Creation (Tables)</t>
  </si>
  <si>
    <t>Task 5 - Primary Functions and Prcessess</t>
  </si>
  <si>
    <t xml:space="preserve">Assessment Submission : </t>
  </si>
  <si>
    <t xml:space="preserve">All files to be uploaded to you designated space on TEAMS by : </t>
  </si>
  <si>
    <t>Further notes for learners :</t>
  </si>
  <si>
    <t>Read all questions carefully and ensure all evidence is saved to the specific location with the correct filename.</t>
  </si>
  <si>
    <t>1 : 1 feedback will be offered after your submission date. You are encourage to avail of these feedback sessions.</t>
  </si>
  <si>
    <t>Assessment Instructions :</t>
  </si>
  <si>
    <t>All instructions are available in the relevant assignment.</t>
  </si>
  <si>
    <r>
      <t xml:space="preserve">Note: </t>
    </r>
    <r>
      <rPr>
        <sz val="12"/>
        <color theme="1"/>
        <rFont val="Calibri"/>
        <family val="2"/>
        <scheme val="minor"/>
      </rPr>
      <t>City of Dublin Education and Training Board promote academic integrity in all out work. Plagerism and academic misconduct will not be tolerated and can have serious consequences for you in achieving your award. Ensure that all sources are properly cited and referenced according to academic conventions.</t>
    </r>
  </si>
  <si>
    <t>The referencing guide will support you in ensuring that your work is to the highest academic integrity standard.</t>
  </si>
  <si>
    <t>Academic Integrity Policy</t>
  </si>
  <si>
    <t>Referencing Guide</t>
  </si>
  <si>
    <t>Assesment Brief - Examination - 30%</t>
  </si>
  <si>
    <t>2 of 2</t>
  </si>
  <si>
    <r>
      <t xml:space="preserve">Overview : </t>
    </r>
    <r>
      <rPr>
        <sz val="12"/>
        <color theme="1"/>
        <rFont val="Calibri"/>
        <family val="2"/>
        <scheme val="minor"/>
      </rPr>
      <t>In this assesment you wull have the opportunity to show evidence of the achivement of MIMLOs 2 and 4.</t>
    </r>
  </si>
  <si>
    <t>MIMLO 2 : Apply file management features using appropriate skills and tools.</t>
  </si>
  <si>
    <t>MIMLO 4 : Modify existing docuemnts using common word processing formatting and editing tools.</t>
  </si>
  <si>
    <t>You will have 60 minutes to complete the provided examination. You should attempt all questions to the best of your ability.</t>
  </si>
  <si>
    <t>Your examination will be graded on your ability to complete the tasks as laid out in the provided paper</t>
  </si>
  <si>
    <t>Page Setup</t>
  </si>
  <si>
    <t>Text Insertion</t>
  </si>
  <si>
    <t>Character and Paragraph Formatting</t>
  </si>
  <si>
    <t>Object Formatting</t>
  </si>
  <si>
    <t>Use fo review tools (spelling, grammer &amp; accessibility)</t>
  </si>
  <si>
    <t>Assessment Submission :</t>
  </si>
  <si>
    <t>All files to be shared upon completion of the examination</t>
  </si>
  <si>
    <t>Script started.</t>
  </si>
  <si>
    <t>2026-03-04T12:19:29.756Z</t>
  </si>
  <si>
    <t>Learner One</t>
  </si>
  <si>
    <t>Learner Two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</si>
</sst>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8"/>
      <color theme="1"/>
      <name val="Calibri"/>
      <family val="2"/>
      <scheme val="minor"/>
    </font>
    <font>
      <sz val="11"/>
      <color rgb="FF000000"/>
      <name val="Calibri"/>
      <family val="2"/>
      <scheme val="minor"/>
    </font>
    <font>
      <u/>
      <sz val="11"/>
      <color theme="10"/>
      <name val="Calibri"/>
      <family val="2"/>
      <scheme val="minor"/>
    </font>
    <font>
      <sz val="11"/>
      <color theme="0" tint="-0.249977111117893"/>
      <name val="Calibri"/>
      <family val="2"/>
      <scheme val="minor"/>
    </font>
    <font>
      <b/>
      <u/>
      <sz val="11"/>
      <color theme="1"/>
      <name val="Calibri"/>
      <family val="2"/>
      <scheme val="minor"/>
    </font>
    <font>
      <sz val="12"/>
      <color rgb="FF000000"/>
      <name val="Calibri"/>
      <family val="2"/>
      <scheme val="minor"/>
    </font>
    <font>
      <b/>
      <sz val="12"/>
      <color rgb="FF000000"/>
      <name val="Calibri"/>
      <family val="2"/>
      <scheme val="minor"/>
    </font>
    <font>
      <sz val="8"/>
      <name val="Calibri"/>
      <family val="2"/>
      <scheme val="minor"/>
    </font>
    <font>
      <sz val="10"/>
      <color theme="0" tint="-0.34998626667073579"/>
      <name val="Calibri"/>
      <family val="2"/>
      <scheme val="minor"/>
    </font>
    <font>
      <sz val="10"/>
      <color theme="1"/>
      <name val="Calibri"/>
      <family val="2"/>
      <scheme val="minor"/>
    </font>
    <font>
      <b/>
      <sz val="12"/>
      <color rgb="FF000000"/>
      <name val="Aptos Narrow"/>
    </font>
    <font>
      <sz val="11"/>
      <color theme="0" tint="-0.14999847407452621"/>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3" tint="0.89999084444715716"/>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rgb="FF000000"/>
      </bottom>
      <diagonal/>
    </border>
    <border>
      <left/>
      <right/>
      <top/>
      <bottom style="thin">
        <color rgb="FF000000"/>
      </bottom>
      <diagonal/>
    </border>
  </borders>
  <cellStyleXfs count="3">
    <xf numFmtId="0" fontId="0" fillId="0" borderId="0"/>
    <xf numFmtId="9" fontId="4" fillId="0" borderId="0" applyFont="0" applyFill="0" applyBorder="0" applyAlignment="0" applyProtection="0"/>
    <xf numFmtId="0" fontId="9" fillId="0" borderId="0" applyNumberFormat="0" applyFill="0" applyBorder="0" applyAlignment="0" applyProtection="0"/>
  </cellStyleXfs>
  <cellXfs count="208">
    <xf numFmtId="0" fontId="0" fillId="0" borderId="0" xfId="0"/>
    <xf numFmtId="0" fontId="0" fillId="0" borderId="0" xfId="0" applyAlignment="1">
      <alignment vertical="center"/>
    </xf>
    <xf numFmtId="0" fontId="0" fillId="0" borderId="0" xfId="0" applyAlignment="1">
      <alignment horizontal="left" vertical="center"/>
    </xf>
    <xf numFmtId="0" fontId="0" fillId="0" borderId="0" xfId="0" applyAlignment="1">
      <alignment vertical="center" wrapText="1"/>
    </xf>
    <xf numFmtId="0" fontId="5" fillId="0" borderId="10" xfId="0" applyFont="1" applyBorder="1" applyAlignment="1">
      <alignment horizontal="center" vertical="center"/>
    </xf>
    <xf numFmtId="0" fontId="0" fillId="0" borderId="3" xfId="0" applyBorder="1"/>
    <xf numFmtId="0" fontId="0" fillId="0" borderId="6" xfId="0" applyBorder="1"/>
    <xf numFmtId="0" fontId="0" fillId="0" borderId="11" xfId="0" applyBorder="1"/>
    <xf numFmtId="0" fontId="0" fillId="0" borderId="12" xfId="0" applyBorder="1"/>
    <xf numFmtId="0" fontId="7" fillId="0" borderId="0" xfId="0" applyFont="1" applyAlignment="1">
      <alignment vertical="center"/>
    </xf>
    <xf numFmtId="0" fontId="0" fillId="3" borderId="0" xfId="0" applyFill="1"/>
    <xf numFmtId="0" fontId="0" fillId="3" borderId="0" xfId="0" applyFill="1" applyAlignment="1">
      <alignment vertical="center"/>
    </xf>
    <xf numFmtId="0" fontId="3" fillId="3" borderId="0" xfId="0" applyFont="1" applyFill="1"/>
    <xf numFmtId="0" fontId="0" fillId="3" borderId="0" xfId="0" applyFill="1" applyAlignment="1">
      <alignment horizontal="center" vertical="center" wrapText="1"/>
    </xf>
    <xf numFmtId="0" fontId="3" fillId="3" borderId="0" xfId="0" applyFont="1" applyFill="1" applyAlignment="1">
      <alignment horizontal="center" vertical="center" wrapText="1"/>
    </xf>
    <xf numFmtId="0" fontId="0" fillId="2" borderId="13" xfId="0" applyFill="1" applyBorder="1"/>
    <xf numFmtId="0" fontId="0" fillId="2" borderId="14" xfId="0" applyFill="1" applyBorder="1"/>
    <xf numFmtId="0" fontId="0" fillId="2" borderId="15" xfId="0" applyFill="1" applyBorder="1"/>
    <xf numFmtId="0" fontId="0" fillId="0" borderId="1" xfId="0" applyBorder="1"/>
    <xf numFmtId="0" fontId="0" fillId="0" borderId="3" xfId="0" applyBorder="1" applyAlignment="1">
      <alignment horizontal="center" vertical="center"/>
    </xf>
    <xf numFmtId="0" fontId="0" fillId="0" borderId="12" xfId="0" applyBorder="1" applyAlignment="1">
      <alignment horizontal="center" vertical="center"/>
    </xf>
    <xf numFmtId="0" fontId="0" fillId="0" borderId="4" xfId="0" applyBorder="1"/>
    <xf numFmtId="0" fontId="0" fillId="0" borderId="6" xfId="0" applyBorder="1" applyAlignment="1">
      <alignment horizontal="center" vertical="center"/>
    </xf>
    <xf numFmtId="0" fontId="5" fillId="4" borderId="7" xfId="0" applyFont="1" applyFill="1" applyBorder="1" applyAlignment="1">
      <alignment horizontal="center" vertical="center" wrapText="1"/>
    </xf>
    <xf numFmtId="0" fontId="5" fillId="4" borderId="9" xfId="0" applyFont="1" applyFill="1" applyBorder="1" applyAlignment="1">
      <alignment horizontal="center" vertical="center" wrapText="1"/>
    </xf>
    <xf numFmtId="0" fontId="0" fillId="4" borderId="13" xfId="0" applyFill="1" applyBorder="1"/>
    <xf numFmtId="0" fontId="0" fillId="4" borderId="14" xfId="0" applyFill="1" applyBorder="1"/>
    <xf numFmtId="0" fontId="0" fillId="4" borderId="15" xfId="0" applyFill="1" applyBorder="1"/>
    <xf numFmtId="0" fontId="0" fillId="5" borderId="13" xfId="0" applyFill="1" applyBorder="1"/>
    <xf numFmtId="0" fontId="0" fillId="5" borderId="14" xfId="0" applyFill="1" applyBorder="1"/>
    <xf numFmtId="0" fontId="0" fillId="5" borderId="15" xfId="0" applyFill="1" applyBorder="1"/>
    <xf numFmtId="0" fontId="7" fillId="6" borderId="10" xfId="0" applyFont="1" applyFill="1" applyBorder="1" applyAlignment="1">
      <alignment vertical="center"/>
    </xf>
    <xf numFmtId="0" fontId="6" fillId="6" borderId="10" xfId="0" applyFont="1" applyFill="1" applyBorder="1" applyAlignment="1">
      <alignment vertical="center"/>
    </xf>
    <xf numFmtId="0" fontId="5" fillId="6" borderId="10" xfId="0" applyFont="1" applyFill="1" applyBorder="1" applyAlignment="1">
      <alignment horizontal="center" vertical="center" wrapText="1"/>
    </xf>
    <xf numFmtId="0" fontId="5" fillId="4" borderId="7" xfId="0" applyFont="1" applyFill="1" applyBorder="1" applyAlignment="1">
      <alignment horizontal="center" vertical="center"/>
    </xf>
    <xf numFmtId="0" fontId="5" fillId="4" borderId="8" xfId="0" applyFont="1" applyFill="1" applyBorder="1" applyAlignment="1">
      <alignment horizontal="center" vertical="center"/>
    </xf>
    <xf numFmtId="0" fontId="5" fillId="7" borderId="13"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3" xfId="0" applyFont="1" applyFill="1" applyBorder="1" applyAlignment="1">
      <alignment horizontal="center" vertical="center"/>
    </xf>
    <xf numFmtId="0" fontId="8" fillId="0" borderId="0" xfId="0" applyFont="1"/>
    <xf numFmtId="0" fontId="0" fillId="0" borderId="11" xfId="0" applyBorder="1" applyAlignment="1">
      <alignment horizontal="left" vertical="center"/>
    </xf>
    <xf numFmtId="0" fontId="0" fillId="0" borderId="12" xfId="0" applyBorder="1" applyAlignment="1">
      <alignment horizontal="left" vertical="center"/>
    </xf>
    <xf numFmtId="0" fontId="0" fillId="0" borderId="0" xfId="0" applyAlignment="1">
      <alignment horizontal="left" vertical="center" wrapText="1"/>
    </xf>
    <xf numFmtId="0" fontId="0" fillId="0" borderId="12" xfId="0" applyBorder="1" applyAlignment="1">
      <alignment horizontal="left" vertical="center" wrapText="1"/>
    </xf>
    <xf numFmtId="0" fontId="0" fillId="0" borderId="10" xfId="0" applyBorder="1" applyAlignment="1">
      <alignment horizontal="center" vertical="center"/>
    </xf>
    <xf numFmtId="0" fontId="5" fillId="4" borderId="2" xfId="0" applyFont="1" applyFill="1" applyBorder="1" applyAlignment="1">
      <alignment horizontal="center" vertical="center"/>
    </xf>
    <xf numFmtId="0" fontId="0" fillId="0" borderId="2" xfId="0" applyBorder="1"/>
    <xf numFmtId="0" fontId="0" fillId="0" borderId="5" xfId="0" applyBorder="1"/>
    <xf numFmtId="0" fontId="5" fillId="4" borderId="3" xfId="0" applyFont="1" applyFill="1" applyBorder="1" applyAlignment="1">
      <alignment horizontal="center" vertical="center" wrapText="1"/>
    </xf>
    <xf numFmtId="0" fontId="5" fillId="3" borderId="0" xfId="0" applyFont="1" applyFill="1" applyAlignment="1">
      <alignment horizontal="center" vertical="center" wrapText="1"/>
    </xf>
    <xf numFmtId="0" fontId="5" fillId="4" borderId="8" xfId="0" applyFont="1" applyFill="1" applyBorder="1" applyAlignment="1">
      <alignment horizontal="center" vertical="center" wrapText="1"/>
    </xf>
    <xf numFmtId="0" fontId="5" fillId="4" borderId="13" xfId="0" applyFont="1" applyFill="1" applyBorder="1" applyAlignment="1">
      <alignment horizontal="center" vertical="center" wrapText="1"/>
    </xf>
    <xf numFmtId="49" fontId="5" fillId="4" borderId="8" xfId="0" applyNumberFormat="1" applyFont="1" applyFill="1" applyBorder="1" applyAlignment="1">
      <alignment horizontal="center" vertical="center" wrapText="1"/>
    </xf>
    <xf numFmtId="0" fontId="10" fillId="0" borderId="0" xfId="0" applyFont="1"/>
    <xf numFmtId="0" fontId="10" fillId="0" borderId="5" xfId="0" applyFont="1" applyBorder="1"/>
    <xf numFmtId="0" fontId="10" fillId="0" borderId="2" xfId="0" applyFont="1" applyBorder="1"/>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5" fillId="3" borderId="0" xfId="0" applyFont="1" applyFill="1" applyAlignment="1">
      <alignment horizontal="center" vertical="center"/>
    </xf>
    <xf numFmtId="0" fontId="11" fillId="4" borderId="7" xfId="2"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right" vertical="center"/>
    </xf>
    <xf numFmtId="0" fontId="5" fillId="0" borderId="0" xfId="0" applyFont="1" applyAlignment="1">
      <alignment horizontal="center" vertical="center"/>
    </xf>
    <xf numFmtId="0" fontId="3" fillId="0" borderId="0" xfId="0" applyFont="1" applyAlignment="1">
      <alignment horizontal="right" vertical="top"/>
    </xf>
    <xf numFmtId="0" fontId="3" fillId="0" borderId="0" xfId="0" applyFont="1" applyAlignment="1">
      <alignment vertical="center"/>
    </xf>
    <xf numFmtId="0" fontId="5" fillId="0" borderId="0" xfId="0" applyFont="1" applyAlignment="1">
      <alignment vertical="center"/>
    </xf>
    <xf numFmtId="0" fontId="3" fillId="0" borderId="0" xfId="0" applyFont="1" applyAlignment="1">
      <alignment vertical="top"/>
    </xf>
    <xf numFmtId="0" fontId="0" fillId="0" borderId="7" xfId="0" applyBorder="1"/>
    <xf numFmtId="0" fontId="0" fillId="0" borderId="8" xfId="0" applyBorder="1"/>
    <xf numFmtId="0" fontId="0" fillId="0" borderId="9" xfId="0" applyBorder="1"/>
    <xf numFmtId="0" fontId="0" fillId="0" borderId="10" xfId="0" applyBorder="1"/>
    <xf numFmtId="0" fontId="5" fillId="0" borderId="11" xfId="0" applyFont="1" applyBorder="1" applyAlignment="1">
      <alignment vertical="center"/>
    </xf>
    <xf numFmtId="0" fontId="0" fillId="0" borderId="12" xfId="0" applyBorder="1" applyAlignment="1">
      <alignment vertical="center" wrapText="1"/>
    </xf>
    <xf numFmtId="0" fontId="5" fillId="0" borderId="11" xfId="0" applyFont="1" applyBorder="1" applyAlignment="1">
      <alignment horizontal="right" vertical="center"/>
    </xf>
    <xf numFmtId="0" fontId="5" fillId="0" borderId="4" xfId="0" applyFont="1" applyBorder="1" applyAlignment="1">
      <alignment horizontal="right" vertical="center"/>
    </xf>
    <xf numFmtId="0" fontId="0" fillId="0" borderId="5" xfId="0" applyBorder="1" applyAlignment="1">
      <alignment horizontal="left" wrapText="1"/>
    </xf>
    <xf numFmtId="0" fontId="0" fillId="0" borderId="6" xfId="0" applyBorder="1" applyAlignment="1">
      <alignment horizontal="left" wrapText="1"/>
    </xf>
    <xf numFmtId="0" fontId="0" fillId="0" borderId="0" xfId="0" applyAlignment="1">
      <alignment horizontal="left" wrapText="1"/>
    </xf>
    <xf numFmtId="0" fontId="0" fillId="0" borderId="12" xfId="0" applyBorder="1" applyAlignment="1">
      <alignment horizontal="left" wrapText="1"/>
    </xf>
    <xf numFmtId="0" fontId="5" fillId="0" borderId="11" xfId="0" applyFont="1" applyBorder="1" applyAlignment="1">
      <alignment horizontal="left" vertical="center"/>
    </xf>
    <xf numFmtId="0" fontId="0" fillId="0" borderId="0" xfId="0" applyAlignment="1">
      <alignment horizontal="left"/>
    </xf>
    <xf numFmtId="0" fontId="0" fillId="0" borderId="12" xfId="0"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5" fillId="0" borderId="4" xfId="0" applyFont="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15" xfId="0" applyBorder="1" applyAlignment="1">
      <alignment horizontal="left" vertical="center"/>
    </xf>
    <xf numFmtId="0" fontId="5" fillId="0" borderId="1" xfId="0" applyFont="1" applyBorder="1" applyAlignment="1">
      <alignment horizontal="right" vertical="center"/>
    </xf>
    <xf numFmtId="0" fontId="0" fillId="0" borderId="2" xfId="0" applyBorder="1" applyAlignment="1">
      <alignment vertical="center" wrapText="1"/>
    </xf>
    <xf numFmtId="0" fontId="13" fillId="0" borderId="11" xfId="0" applyFont="1" applyBorder="1" applyAlignment="1">
      <alignment horizontal="right" vertical="center"/>
    </xf>
    <xf numFmtId="0" fontId="0" fillId="0" borderId="5" xfId="0" applyBorder="1" applyAlignment="1">
      <alignment vertical="center" wrapText="1"/>
    </xf>
    <xf numFmtId="0" fontId="13" fillId="0" borderId="0" xfId="0" applyFont="1" applyAlignment="1">
      <alignment horizontal="right" vertical="center"/>
    </xf>
    <xf numFmtId="0" fontId="5" fillId="4" borderId="9" xfId="0" applyFont="1" applyFill="1" applyBorder="1" applyAlignment="1">
      <alignment horizontal="center" vertical="center"/>
    </xf>
    <xf numFmtId="0" fontId="5" fillId="4" borderId="10" xfId="0" applyFont="1" applyFill="1" applyBorder="1" applyAlignment="1">
      <alignment horizontal="center" vertical="center" wrapText="1"/>
    </xf>
    <xf numFmtId="0" fontId="0" fillId="0" borderId="11"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5" fillId="0" borderId="1" xfId="0" applyFont="1" applyBorder="1" applyAlignment="1">
      <alignment vertical="center"/>
    </xf>
    <xf numFmtId="0" fontId="15" fillId="0" borderId="1" xfId="0" applyFont="1" applyBorder="1"/>
    <xf numFmtId="0" fontId="15" fillId="0" borderId="11" xfId="0" applyFont="1" applyBorder="1" applyAlignment="1">
      <alignment vertical="center"/>
    </xf>
    <xf numFmtId="0" fontId="15" fillId="0" borderId="11" xfId="0" applyFont="1" applyBorder="1"/>
    <xf numFmtId="0" fontId="0" fillId="0" borderId="1" xfId="0" applyBorder="1">
      <extLst>
        <ext xmlns:xfpb="http://schemas.microsoft.com/office/spreadsheetml/2022/featurepropertybag" uri="{C7286773-470A-42A8-94C5-96B5CB345126}">
          <xfpb:xfComplement i="0"/>
        </ext>
      </extLst>
    </xf>
    <xf numFmtId="0" fontId="16" fillId="0" borderId="2" xfId="0" applyFont="1" applyBorder="1" applyAlignment="1">
      <alignment vertical="center"/>
    </xf>
    <xf numFmtId="0" fontId="0" fillId="0" borderId="4" xfId="0" applyBorder="1">
      <extLst>
        <ext xmlns:xfpb="http://schemas.microsoft.com/office/spreadsheetml/2022/featurepropertybag" uri="{C7286773-470A-42A8-94C5-96B5CB345126}">
          <xfpb:xfComplement i="0"/>
        </ext>
      </extLst>
    </xf>
    <xf numFmtId="0" fontId="5" fillId="0" borderId="4" xfId="0" applyFont="1" applyBorder="1" applyAlignment="1">
      <alignment vertical="center"/>
    </xf>
    <xf numFmtId="0" fontId="16" fillId="0" borderId="5" xfId="0" applyFont="1" applyBorder="1" applyAlignment="1">
      <alignment vertical="center"/>
    </xf>
    <xf numFmtId="0" fontId="5" fillId="0" borderId="11" xfId="0" applyFont="1" applyBorder="1"/>
    <xf numFmtId="0" fontId="5" fillId="0" borderId="0" xfId="0" applyFont="1"/>
    <xf numFmtId="0" fontId="12" fillId="0" borderId="11" xfId="0" applyFont="1" applyBorder="1" applyAlignment="1">
      <alignment horizontal="left" vertical="center"/>
    </xf>
    <xf numFmtId="14" fontId="5" fillId="0" borderId="10" xfId="0" applyNumberFormat="1" applyFont="1" applyBorder="1"/>
    <xf numFmtId="0" fontId="9" fillId="0" borderId="0" xfId="2" applyBorder="1"/>
    <xf numFmtId="0" fontId="5" fillId="4" borderId="14" xfId="0" applyFont="1" applyFill="1" applyBorder="1" applyAlignment="1">
      <alignment horizontal="center" vertical="center"/>
    </xf>
    <xf numFmtId="0" fontId="5" fillId="5" borderId="14" xfId="0" applyFont="1" applyFill="1" applyBorder="1" applyAlignment="1">
      <alignment horizontal="center" vertical="center"/>
    </xf>
    <xf numFmtId="0" fontId="18" fillId="0" borderId="2" xfId="0" applyFont="1" applyBorder="1"/>
    <xf numFmtId="0" fontId="18" fillId="0" borderId="0" xfId="0" applyFont="1"/>
    <xf numFmtId="0" fontId="18" fillId="0" borderId="5" xfId="0" applyFont="1" applyBorder="1"/>
    <xf numFmtId="0" fontId="18" fillId="0" borderId="1" xfId="0" applyFont="1" applyBorder="1"/>
    <xf numFmtId="0" fontId="18" fillId="0" borderId="11" xfId="0" applyFont="1" applyBorder="1"/>
    <xf numFmtId="0" fontId="18" fillId="0" borderId="4" xfId="0" applyFont="1" applyBorder="1"/>
    <xf numFmtId="10" fontId="0" fillId="0" borderId="13" xfId="1" applyNumberFormat="1" applyFont="1" applyBorder="1" applyAlignment="1">
      <alignment horizontal="center" vertical="center"/>
    </xf>
    <xf numFmtId="10" fontId="0" fillId="0" borderId="14" xfId="1" applyNumberFormat="1" applyFont="1" applyBorder="1" applyAlignment="1">
      <alignment horizontal="center" vertical="center"/>
    </xf>
    <xf numFmtId="10" fontId="0" fillId="0" borderId="15" xfId="1" applyNumberFormat="1" applyFont="1" applyBorder="1" applyAlignment="1">
      <alignment horizontal="center" vertical="center"/>
    </xf>
    <xf numFmtId="10" fontId="0" fillId="0" borderId="3" xfId="1" applyNumberFormat="1" applyFont="1" applyBorder="1" applyAlignment="1">
      <alignment horizontal="center" vertical="center"/>
    </xf>
    <xf numFmtId="10" fontId="0" fillId="0" borderId="12" xfId="1" applyNumberFormat="1" applyFont="1" applyBorder="1" applyAlignment="1">
      <alignment horizontal="center" vertical="center"/>
    </xf>
    <xf numFmtId="10" fontId="0" fillId="0" borderId="6" xfId="1" applyNumberFormat="1" applyFont="1" applyBorder="1" applyAlignment="1">
      <alignment horizontal="center" vertical="center"/>
    </xf>
    <xf numFmtId="0" fontId="5" fillId="5"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12" fillId="0" borderId="11" xfId="0" applyFont="1" applyBorder="1" applyAlignment="1">
      <alignment horizontal="right" vertical="center"/>
    </xf>
    <xf numFmtId="0" fontId="12" fillId="0" borderId="0" xfId="0" applyFont="1" applyAlignment="1">
      <alignment horizontal="right" vertical="center"/>
    </xf>
    <xf numFmtId="0" fontId="12" fillId="0" borderId="16" xfId="0" applyFont="1" applyBorder="1" applyAlignment="1">
      <alignment horizontal="right" vertical="center"/>
    </xf>
    <xf numFmtId="0" fontId="12" fillId="0" borderId="17" xfId="0" applyFont="1" applyBorder="1" applyAlignment="1">
      <alignment horizontal="right"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center" vertical="center"/>
    </xf>
    <xf numFmtId="0" fontId="0" fillId="0" borderId="0" xfId="0" applyAlignment="1">
      <alignment horizontal="left" vertical="center" wrapText="1"/>
    </xf>
    <xf numFmtId="0" fontId="0" fillId="0" borderId="12" xfId="0" applyBorder="1" applyAlignment="1">
      <alignment horizontal="left" vertical="center" wrapText="1"/>
    </xf>
    <xf numFmtId="0" fontId="5" fillId="0" borderId="11" xfId="0" applyFont="1" applyBorder="1" applyAlignment="1">
      <alignment horizontal="left" vertical="center" wrapText="1"/>
    </xf>
    <xf numFmtId="0" fontId="5" fillId="0" borderId="0" xfId="0" applyFont="1" applyAlignment="1">
      <alignment horizontal="left" vertical="center" wrapText="1"/>
    </xf>
    <xf numFmtId="0" fontId="5" fillId="0" borderId="12" xfId="0" applyFont="1" applyBorder="1" applyAlignment="1">
      <alignment horizontal="left" vertical="center" wrapText="1"/>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0" fillId="0" borderId="1"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4" xfId="0" applyBorder="1" applyAlignment="1">
      <alignment horizontal="center" vertical="top"/>
    </xf>
    <xf numFmtId="0" fontId="0" fillId="0" borderId="6" xfId="0" applyBorder="1" applyAlignment="1">
      <alignment horizontal="center" vertical="top"/>
    </xf>
    <xf numFmtId="0" fontId="0" fillId="0" borderId="2" xfId="0" applyBorder="1" applyAlignment="1">
      <alignment horizontal="center"/>
    </xf>
    <xf numFmtId="0" fontId="5" fillId="0" borderId="13" xfId="0" applyFont="1" applyBorder="1" applyAlignment="1">
      <alignment horizontal="center" wrapText="1"/>
    </xf>
    <xf numFmtId="0" fontId="5" fillId="0" borderId="15" xfId="0" applyFont="1" applyBorder="1" applyAlignment="1">
      <alignment horizontal="center" wrapText="1"/>
    </xf>
    <xf numFmtId="0" fontId="0" fillId="0" borderId="11" xfId="0" applyBorder="1" applyAlignment="1">
      <alignment horizontal="center"/>
    </xf>
    <xf numFmtId="0" fontId="0" fillId="0" borderId="0" xfId="0" applyAlignment="1">
      <alignment horizontal="center"/>
    </xf>
    <xf numFmtId="0" fontId="12" fillId="0" borderId="1" xfId="0" applyFont="1" applyBorder="1" applyAlignment="1">
      <alignment horizontal="right" vertical="center"/>
    </xf>
    <xf numFmtId="0" fontId="12" fillId="0" borderId="2" xfId="0" applyFont="1" applyBorder="1" applyAlignment="1">
      <alignment horizontal="right" vertical="center"/>
    </xf>
    <xf numFmtId="0" fontId="5" fillId="0" borderId="13" xfId="0" applyFont="1" applyBorder="1" applyAlignment="1">
      <alignment horizontal="center" vertical="center"/>
    </xf>
    <xf numFmtId="0" fontId="0" fillId="0" borderId="0" xfId="0" applyAlignment="1">
      <alignment horizontal="left" vertical="center"/>
    </xf>
    <xf numFmtId="0" fontId="6" fillId="6" borderId="7" xfId="0" applyFont="1" applyFill="1" applyBorder="1" applyAlignment="1">
      <alignment horizontal="left"/>
    </xf>
    <xf numFmtId="0" fontId="6" fillId="6" borderId="8" xfId="0" applyFont="1" applyFill="1" applyBorder="1" applyAlignment="1">
      <alignment horizontal="left"/>
    </xf>
    <xf numFmtId="0" fontId="6" fillId="6" borderId="3" xfId="0" applyFont="1" applyFill="1" applyBorder="1" applyAlignment="1">
      <alignment horizontal="left"/>
    </xf>
    <xf numFmtId="0" fontId="6" fillId="6" borderId="4" xfId="0" applyFont="1" applyFill="1" applyBorder="1" applyAlignment="1">
      <alignment horizontal="left"/>
    </xf>
    <xf numFmtId="0" fontId="6" fillId="6" borderId="5" xfId="0" applyFont="1" applyFill="1" applyBorder="1" applyAlignment="1">
      <alignment horizontal="left"/>
    </xf>
    <xf numFmtId="0" fontId="6" fillId="6" borderId="0" xfId="0" applyFont="1" applyFill="1" applyAlignment="1">
      <alignment horizontal="left"/>
    </xf>
    <xf numFmtId="0" fontId="0" fillId="0" borderId="7" xfId="0" applyBorder="1" applyAlignment="1">
      <alignment horizontal="left"/>
    </xf>
    <xf numFmtId="0" fontId="0" fillId="0" borderId="8" xfId="0" applyBorder="1" applyAlignment="1">
      <alignment horizontal="left"/>
    </xf>
    <xf numFmtId="0" fontId="0" fillId="0" borderId="11" xfId="0" applyBorder="1" applyAlignment="1">
      <alignment horizontal="left" vertical="center" wrapTex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4" xfId="0" applyBorder="1" applyAlignment="1">
      <alignment horizontal="left"/>
    </xf>
    <xf numFmtId="0" fontId="0" fillId="0" borderId="5" xfId="0" applyBorder="1" applyAlignment="1">
      <alignment horizontal="left"/>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15" fillId="0" borderId="1" xfId="0" applyFont="1" applyBorder="1" applyAlignment="1">
      <alignment horizontal="left" vertical="center" wrapText="1"/>
    </xf>
    <xf numFmtId="0" fontId="15" fillId="0" borderId="2" xfId="0" applyFont="1" applyBorder="1" applyAlignment="1">
      <alignment horizontal="left" vertical="center" wrapText="1"/>
    </xf>
    <xf numFmtId="0" fontId="15" fillId="0" borderId="4" xfId="0" applyFont="1" applyBorder="1" applyAlignment="1">
      <alignment horizontal="left" vertical="center" wrapText="1"/>
    </xf>
    <xf numFmtId="0" fontId="15" fillId="0" borderId="5" xfId="0" applyFont="1" applyBorder="1" applyAlignment="1">
      <alignment horizontal="left" vertical="center" wrapText="1"/>
    </xf>
    <xf numFmtId="0" fontId="5" fillId="0" borderId="1" xfId="0" applyFont="1" applyBorder="1" applyAlignment="1">
      <alignment horizontal="left" vertical="center" wrapText="1"/>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14" fontId="5" fillId="0" borderId="11" xfId="0" applyNumberFormat="1" applyFont="1" applyBorder="1" applyAlignment="1">
      <alignment horizontal="center"/>
    </xf>
    <xf numFmtId="0" fontId="5" fillId="0" borderId="0" xfId="0" applyFont="1" applyAlignment="1">
      <alignment horizontal="center"/>
    </xf>
    <xf numFmtId="0" fontId="5" fillId="0" borderId="12" xfId="0" applyFont="1" applyBorder="1" applyAlignment="1">
      <alignment horizontal="center"/>
    </xf>
    <xf numFmtId="0" fontId="5" fillId="0" borderId="11" xfId="0" applyFont="1" applyBorder="1" applyAlignment="1">
      <alignment horizontal="center"/>
    </xf>
    <xf numFmtId="9" fontId="5" fillId="0" borderId="11" xfId="0" applyNumberFormat="1" applyFont="1" applyBorder="1" applyAlignment="1">
      <alignment horizontal="center"/>
    </xf>
    <xf numFmtId="20" fontId="0" fillId="0" borderId="11" xfId="0" applyNumberFormat="1" applyBorder="1" applyAlignment="1">
      <alignment horizontal="left" vertical="center" wrapText="1"/>
    </xf>
    <xf numFmtId="20" fontId="0" fillId="0" borderId="0" xfId="0" applyNumberFormat="1" applyAlignment="1">
      <alignment horizontal="left" vertical="center" wrapText="1"/>
    </xf>
    <xf numFmtId="20" fontId="0" fillId="0" borderId="12" xfId="0" applyNumberFormat="1" applyBorder="1" applyAlignment="1">
      <alignment horizontal="left" vertical="center" wrapText="1"/>
    </xf>
    <xf numFmtId="0" fontId="6" fillId="8" borderId="7" xfId="0" applyFont="1" applyFill="1" applyBorder="1" applyAlignment="1">
      <alignment horizontal="center" vertical="center"/>
    </xf>
    <xf numFmtId="0" fontId="6" fillId="8" borderId="8" xfId="0" applyFont="1" applyFill="1" applyBorder="1" applyAlignment="1">
      <alignment horizontal="center" vertical="center"/>
    </xf>
    <xf numFmtId="0" fontId="6" fillId="8" borderId="9" xfId="0" applyFont="1" applyFill="1" applyBorder="1" applyAlignment="1">
      <alignment horizontal="center" vertical="center"/>
    </xf>
    <xf numFmtId="0" fontId="0" fillId="0" borderId="7" xfId="0" applyBorder="1" applyAlignment="1">
      <alignment horizontal="left" vertical="center"/>
    </xf>
    <xf numFmtId="0" fontId="0" fillId="0" borderId="8" xfId="0" applyBorder="1" applyAlignment="1">
      <alignment horizontal="left" vertical="center"/>
    </xf>
    <xf numFmtId="0" fontId="2" fillId="0" borderId="0" xfId="0" applyFont="1" applyAlignment="1">
      <alignment horizontal="left" vertical="center" wrapText="1"/>
    </xf>
    <xf numFmtId="0" fontId="2" fillId="0" borderId="12" xfId="0" applyFont="1" applyBorder="1" applyAlignment="1">
      <alignment horizontal="left" vertical="center" wrapText="1"/>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0" fillId="0" borderId="4" xfId="0" applyBorder="1" applyAlignment="1">
      <alignment horizontal="left" vertical="center"/>
    </xf>
    <xf numFmtId="0" fontId="0" fillId="0" borderId="5" xfId="0" applyBorder="1" applyAlignment="1">
      <alignment horizontal="left" vertical="center"/>
    </xf>
  </cellXfs>
  <cellStyles count="3">
    <cellStyle name="Hyperlink" xfId="2" builtinId="8"/>
    <cellStyle name="Normal" xfId="0" builtinId="0"/>
    <cellStyle name="Per cent" xfId="1" builtinId="5"/>
  </cellStyles>
  <dxfs count="10">
    <dxf>
      <font>
        <b/>
        <i/>
      </font>
      <fill>
        <patternFill>
          <bgColor theme="6" tint="-0.24994659260841701"/>
        </patternFill>
      </fill>
    </dxf>
    <dxf>
      <font>
        <b/>
        <i/>
      </font>
      <fill>
        <patternFill>
          <bgColor theme="6" tint="0.39994506668294322"/>
        </patternFill>
      </fill>
    </dxf>
    <dxf>
      <font>
        <b/>
        <i/>
      </font>
      <fill>
        <patternFill>
          <bgColor theme="6" tint="0.59996337778862885"/>
        </patternFill>
      </fill>
    </dxf>
    <dxf>
      <font>
        <color rgb="FF9C0006"/>
      </font>
      <fill>
        <patternFill>
          <bgColor rgb="FFFFC7CE"/>
        </patternFill>
      </fill>
    </dxf>
    <dxf>
      <font>
        <color rgb="FF9C0006"/>
      </font>
      <fill>
        <patternFill>
          <bgColor rgb="FFFFC7CE"/>
        </patternFill>
      </fill>
    </dxf>
    <dxf>
      <font>
        <b/>
        <i/>
      </font>
      <fill>
        <patternFill>
          <bgColor theme="6" tint="-0.24994659260841701"/>
        </patternFill>
      </fill>
    </dxf>
    <dxf>
      <font>
        <b/>
        <i/>
      </font>
      <fill>
        <patternFill>
          <bgColor theme="6" tint="0.39994506668294322"/>
        </patternFill>
      </fill>
    </dxf>
    <dxf>
      <font>
        <b/>
        <i/>
      </font>
      <fill>
        <patternFill>
          <bgColor theme="6"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7257</xdr:colOff>
      <xdr:row>1</xdr:row>
      <xdr:rowOff>0</xdr:rowOff>
    </xdr:from>
    <xdr:to>
      <xdr:col>6</xdr:col>
      <xdr:colOff>595086</xdr:colOff>
      <xdr:row>2</xdr:row>
      <xdr:rowOff>101600</xdr:rowOff>
    </xdr:to>
    <xdr:sp macro="" textlink="">
      <xdr:nvSpPr>
        <xdr:cNvPr id="2" name="Rounded Rectangle 1">
          <a:extLst>
            <a:ext uri="{FF2B5EF4-FFF2-40B4-BE49-F238E27FC236}">
              <a16:creationId xmlns:a16="http://schemas.microsoft.com/office/drawing/2014/main" id="{225BAE4E-1B6B-6D4D-8CB3-2C9B95AC9DB0}"/>
            </a:ext>
            <a:ext uri="{6ECC49D1-AA05-4338-93AA-15A1B29DFB0A}">
              <asl:scriptLink xmlns:asl="http://schemas.microsoft.com/office/drawing/2021/scriptlink" val="{&quot;shareId&quot;:&quot;ms-officescript%3A%2F%2Fonedrive_business_sharinglink%2Fu!aHR0cHM6Ly9jZGV0Yi1teS5zaGFyZXBvaW50LmNvbS86dTovZy9wZXJzb25hbC9qYW1pZV9tY2NhcnRoeV95cmNydW1saW5fY2RldGJfaWUvSVFCeWFtaWw2dHAxVGItZXJuenBqRzVNQVpDZmQ1ZDhVM3J6Q0tIR1ZMTkJFVGM&quot;}"/>
            </a:ext>
          </a:extLst>
        </xdr:cNvPr>
        <xdr:cNvSpPr/>
      </xdr:nvSpPr>
      <xdr:spPr>
        <a:xfrm>
          <a:off x="2692400" y="381000"/>
          <a:ext cx="1930400" cy="292100"/>
        </a:xfrm>
        <a:prstGeom prst="roundRect">
          <a:avLst/>
        </a:prstGeom>
        <a:solidFill>
          <a:schemeClr val="accent3">
            <a:lumMod val="75000"/>
          </a:schemeClr>
        </a:solidFill>
        <a:ln w="2540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b="1">
              <a:solidFill>
                <a:schemeClr val="tx1"/>
              </a:solidFill>
            </a:rPr>
            <a:t>Generate</a:t>
          </a:r>
          <a:r>
            <a:rPr lang="en-GB" b="1" baseline="0">
              <a:solidFill>
                <a:schemeClr val="tx1"/>
              </a:solidFill>
            </a:rPr>
            <a:t> Sheets</a:t>
          </a:r>
          <a:endParaRPr lang="en-GB" b="1">
            <a:solidFill>
              <a:schemeClr val="tx1"/>
            </a:solidFill>
          </a:endParaRPr>
        </a:p>
      </xdr:txBody>
    </xdr:sp>
    <xdr:clientData/>
  </xdr:twoCellAnchor>
  <xdr:twoCellAnchor>
    <xdr:from>
      <xdr:col>4</xdr:col>
      <xdr:colOff>7257</xdr:colOff>
      <xdr:row>3</xdr:row>
      <xdr:rowOff>0</xdr:rowOff>
    </xdr:from>
    <xdr:to>
      <xdr:col>5</xdr:col>
      <xdr:colOff>440871</xdr:colOff>
      <xdr:row>4</xdr:row>
      <xdr:rowOff>101600</xdr:rowOff>
    </xdr:to>
    <xdr:sp macro="" textlink="">
      <xdr:nvSpPr>
        <xdr:cNvPr id="3" name="Rounded Rectangle 2">
          <a:extLst>
            <a:ext uri="{FF2B5EF4-FFF2-40B4-BE49-F238E27FC236}">
              <a16:creationId xmlns:a16="http://schemas.microsoft.com/office/drawing/2014/main" id="{FD48019C-55A1-2A41-9402-BC87DFD3EB4D}"/>
            </a:ext>
            <a:ext uri="{6ECC49D1-AA05-4338-93AA-15A1B29DFB0A}">
              <asl:scriptLink xmlns:asl="http://schemas.microsoft.com/office/drawing/2021/scriptlink" val="{&quot;shareId&quot;:&quot;ms-officescript%3A%2F%2Fonedrive_business_sharinglink%2Fu!aHR0cHM6Ly9jZGV0Yi1teS5zaGFyZXBvaW50LmNvbS86dTovZy9wZXJzb25hbC9qYW1pZV9tY2NhcnRoeV95cmNydW1saW5fY2RldGJfaWUvSVFETXlweHpmMHprUm9PdmlULWpWazcwQVhXVFZoT0FyQzRPQWNKZzBUNUJFV1U&quot;}"/>
            </a:ext>
          </a:extLst>
        </xdr:cNvPr>
        <xdr:cNvSpPr/>
      </xdr:nvSpPr>
      <xdr:spPr>
        <a:xfrm>
          <a:off x="2692400" y="762000"/>
          <a:ext cx="1104900" cy="292100"/>
        </a:xfrm>
        <a:prstGeom prst="roundRect">
          <a:avLst/>
        </a:prstGeom>
        <a:solidFill>
          <a:schemeClr val="accent6">
            <a:lumMod val="60000"/>
            <a:lumOff val="40000"/>
          </a:schemeClr>
        </a:solidFill>
        <a:ln w="2540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b="1">
              <a:solidFill>
                <a:schemeClr val="tx1"/>
              </a:solidFill>
            </a:rPr>
            <a:t>Clean</a:t>
          </a:r>
          <a:r>
            <a:rPr lang="en-GB" b="1" baseline="0">
              <a:solidFill>
                <a:schemeClr val="tx1"/>
              </a:solidFill>
            </a:rPr>
            <a:t> Files</a:t>
          </a:r>
        </a:p>
      </xdr:txBody>
    </xdr:sp>
    <xdr:clientData/>
  </xdr:twoCellAnchor>
  <mc:AlternateContent xmlns:mc="http://schemas.openxmlformats.org/markup-compatibility/2006">
    <mc:Choice xmlns:a14="http://schemas.microsoft.com/office/drawing/2010/main" Requires="a14">
      <xdr:twoCellAnchor>
        <xdr:from>
          <xdr:col>4</xdr:col>
          <xdr:colOff>0</xdr:colOff>
          <xdr:row>5</xdr:row>
          <xdr:rowOff>12700</xdr:rowOff>
        </xdr:from>
        <xdr:to>
          <xdr:col>6</xdr:col>
          <xdr:colOff>177800</xdr:colOff>
          <xdr:row>7</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Aptos Narrow" charset="0"/>
                </a:rPr>
                <a:t>Export Sheets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onfigTable" displayName="ConfigTable" ref="A1:B24">
  <autoFilter ref="A1:B24" xr:uid="{00000000-0009-0000-0100-000001000000}"/>
  <tableColumns count="2">
    <tableColumn id="1" xr3:uid="{00000000-0010-0000-0000-000001000000}" name="Setting"/>
    <tableColumn id="2" xr3:uid="{00000000-0010-0000-0000-000002000000}" name="Valu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https://cdetbcdu.ie/wp-content/uploads/2024/08/City-of-Dublin-ETB-Academic-Integrity-Policy-2024.pdf" TargetMode="External"/><Relationship Id="rId2" Type="http://schemas.openxmlformats.org/officeDocument/2006/relationships/hyperlink" Target="https://library.etbi.ie/referencing" TargetMode="External"/><Relationship Id="rId1" Type="http://schemas.openxmlformats.org/officeDocument/2006/relationships/hyperlink" Target="https://cdetbcdu.ie/wp-content/uploads/2024/08/City-of-Dublin-ETB-Academic-Integrity-Policy-2024.pdf" TargetMode="External"/><Relationship Id="rId4" Type="http://schemas.openxmlformats.org/officeDocument/2006/relationships/hyperlink" Target="https://library.etbi.ie/referenc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4"/>
  <sheetViews>
    <sheetView tabSelected="1" zoomScale="150" workbookViewId="0">
      <selection activeCell="D21" sqref="D21"/>
    </sheetView>
  </sheetViews>
  <sheetFormatPr baseColWidth="10" defaultColWidth="8.83203125" defaultRowHeight="15" x14ac:dyDescent="0.2"/>
  <cols>
    <col min="1" max="1" width="16" customWidth="1"/>
    <col min="2" max="2" width="23" customWidth="1"/>
  </cols>
  <sheetData>
    <row r="1" spans="1:4" x14ac:dyDescent="0.2">
      <c r="A1" t="s">
        <v>0</v>
      </c>
      <c r="B1" t="s">
        <v>1</v>
      </c>
      <c r="D1" t="s">
        <v>53</v>
      </c>
    </row>
    <row r="2" spans="1:4" x14ac:dyDescent="0.2">
      <c r="A2" t="s">
        <v>2</v>
      </c>
      <c r="B2" t="s">
        <v>3</v>
      </c>
      <c r="D2" t="s">
        <v>54</v>
      </c>
    </row>
    <row r="3" spans="1:4" x14ac:dyDescent="0.2">
      <c r="A3" t="s">
        <v>64</v>
      </c>
      <c r="B3" t="s">
        <v>147</v>
      </c>
      <c r="D3" t="s">
        <v>65</v>
      </c>
    </row>
    <row r="4" spans="1:4" x14ac:dyDescent="0.2">
      <c r="A4" t="s">
        <v>48</v>
      </c>
      <c r="B4" t="s">
        <v>148</v>
      </c>
      <c r="D4" t="s">
        <v>63</v>
      </c>
    </row>
    <row r="5" spans="1:4" x14ac:dyDescent="0.2">
      <c r="A5" t="s">
        <v>71</v>
      </c>
      <c r="B5" t="s">
        <v>47</v>
      </c>
      <c r="D5" s="39" t="s">
        <v>66</v>
      </c>
    </row>
    <row r="6" spans="1:4" x14ac:dyDescent="0.2">
      <c r="A6" t="s">
        <v>4</v>
      </c>
      <c r="B6" t="s">
        <v>5</v>
      </c>
      <c r="D6" t="s">
        <v>59</v>
      </c>
    </row>
    <row r="7" spans="1:4" x14ac:dyDescent="0.2">
      <c r="A7" t="s">
        <v>6</v>
      </c>
      <c r="B7" t="s">
        <v>7</v>
      </c>
      <c r="D7" t="s">
        <v>60</v>
      </c>
    </row>
    <row r="8" spans="1:4" x14ac:dyDescent="0.2">
      <c r="A8" t="s">
        <v>8</v>
      </c>
      <c r="B8" t="s">
        <v>9</v>
      </c>
      <c r="D8" t="s">
        <v>62</v>
      </c>
    </row>
    <row r="9" spans="1:4" x14ac:dyDescent="0.2">
      <c r="A9" t="s">
        <v>10</v>
      </c>
      <c r="B9" t="s">
        <v>11</v>
      </c>
      <c r="D9" t="s">
        <v>61</v>
      </c>
    </row>
    <row r="10" spans="1:4" x14ac:dyDescent="0.2">
      <c r="A10" t="s">
        <v>67</v>
      </c>
      <c r="B10" t="s">
        <v>68</v>
      </c>
      <c r="D10" t="s">
        <v>72</v>
      </c>
    </row>
    <row r="11" spans="1:4" x14ac:dyDescent="0.2">
      <c r="A11" t="s">
        <v>129</v>
      </c>
      <c r="B11" t="s">
        <v>143</v>
      </c>
      <c r="D11" s="39" t="s">
        <v>76</v>
      </c>
    </row>
    <row r="12" spans="1:4" x14ac:dyDescent="0.2">
      <c r="A12" t="s">
        <v>130</v>
      </c>
      <c r="B12" t="s">
        <v>144</v>
      </c>
      <c r="D12" s="39" t="s">
        <v>77</v>
      </c>
    </row>
    <row r="13" spans="1:4" x14ac:dyDescent="0.2">
      <c r="A13" t="s">
        <v>131</v>
      </c>
      <c r="B13" t="s">
        <v>145</v>
      </c>
      <c r="D13" t="s">
        <v>73</v>
      </c>
    </row>
    <row r="14" spans="1:4" x14ac:dyDescent="0.2">
      <c r="A14" t="s">
        <v>132</v>
      </c>
      <c r="B14" t="s">
        <v>146</v>
      </c>
      <c r="D14" s="39" t="s">
        <v>74</v>
      </c>
    </row>
    <row r="15" spans="1:4" x14ac:dyDescent="0.2">
      <c r="A15" t="s">
        <v>69</v>
      </c>
      <c r="B15" t="s">
        <v>70</v>
      </c>
      <c r="D15" s="39" t="s">
        <v>75</v>
      </c>
    </row>
    <row r="16" spans="1:4" x14ac:dyDescent="0.2">
      <c r="A16" t="s">
        <v>133</v>
      </c>
      <c r="B16" t="s">
        <v>138</v>
      </c>
    </row>
    <row r="17" spans="1:4" x14ac:dyDescent="0.2">
      <c r="A17" t="s">
        <v>134</v>
      </c>
      <c r="B17" t="s">
        <v>139</v>
      </c>
    </row>
    <row r="18" spans="1:4" x14ac:dyDescent="0.2">
      <c r="A18" t="s">
        <v>135</v>
      </c>
      <c r="B18" t="s">
        <v>140</v>
      </c>
    </row>
    <row r="19" spans="1:4" x14ac:dyDescent="0.2">
      <c r="A19" t="s">
        <v>136</v>
      </c>
      <c r="B19" t="s">
        <v>141</v>
      </c>
    </row>
    <row r="20" spans="1:4" x14ac:dyDescent="0.2">
      <c r="A20" t="s">
        <v>137</v>
      </c>
      <c r="B20" t="s">
        <v>142</v>
      </c>
    </row>
    <row r="21" spans="1:4" x14ac:dyDescent="0.2">
      <c r="A21" t="s">
        <v>12</v>
      </c>
      <c r="B21" t="b">
        <v>0</v>
      </c>
      <c r="D21" t="s">
        <v>58</v>
      </c>
    </row>
    <row r="22" spans="1:4" x14ac:dyDescent="0.2">
      <c r="A22" t="s">
        <v>13</v>
      </c>
      <c r="B22" t="s">
        <v>14</v>
      </c>
      <c r="D22" t="s">
        <v>57</v>
      </c>
    </row>
    <row r="23" spans="1:4" x14ac:dyDescent="0.2">
      <c r="A23" t="s">
        <v>15</v>
      </c>
      <c r="B23" t="s">
        <v>16</v>
      </c>
      <c r="D23" t="s">
        <v>55</v>
      </c>
    </row>
    <row r="24" spans="1:4" x14ac:dyDescent="0.2">
      <c r="A24" t="s">
        <v>17</v>
      </c>
      <c r="B24" t="s">
        <v>18</v>
      </c>
      <c r="D24" t="s">
        <v>56</v>
      </c>
    </row>
  </sheetData>
  <phoneticPr fontId="14" type="noConversion"/>
  <pageMargins left="0.5" right="0.5" top="0.5" bottom="0.5" header="0.3" footer="0.3"/>
  <pageSetup paperSize="9" fitToHeight="0"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61"/>
  <sheetViews>
    <sheetView zoomScale="140" workbookViewId="0">
      <selection activeCell="A22" sqref="A22:C22"/>
    </sheetView>
  </sheetViews>
  <sheetFormatPr baseColWidth="10" defaultColWidth="8.83203125" defaultRowHeight="15" x14ac:dyDescent="0.2"/>
  <cols>
    <col min="1" max="16384" width="8.83203125" style="10"/>
  </cols>
  <sheetData>
    <row r="1" spans="1:3" ht="30" customHeight="1" x14ac:dyDescent="0.2">
      <c r="A1" s="9" t="s">
        <v>19</v>
      </c>
      <c r="B1"/>
      <c r="C1"/>
    </row>
    <row r="2" spans="1:3" x14ac:dyDescent="0.2">
      <c r="A2" s="163" t="s">
        <v>209</v>
      </c>
      <c r="B2" s="163"/>
      <c r="C2" s="163"/>
    </row>
    <row r="3" spans="1:3" x14ac:dyDescent="0.2">
      <c r="A3" s="163" t="s">
        <v>210</v>
      </c>
      <c r="B3" s="163"/>
      <c r="C3" s="163"/>
    </row>
    <row r="4" spans="1:3" x14ac:dyDescent="0.2">
      <c r="A4" s="163"/>
      <c r="B4" s="163"/>
      <c r="C4" s="163"/>
    </row>
    <row r="5" spans="1:3" x14ac:dyDescent="0.2">
      <c r="A5" s="163"/>
      <c r="B5" s="163"/>
      <c r="C5" s="163"/>
    </row>
    <row r="6" spans="1:3" x14ac:dyDescent="0.2">
      <c r="A6" s="163"/>
      <c r="B6" s="163"/>
      <c r="C6" s="163"/>
    </row>
    <row r="7" spans="1:3" x14ac:dyDescent="0.2">
      <c r="A7" s="163"/>
      <c r="B7" s="163"/>
      <c r="C7" s="163"/>
    </row>
    <row r="8" spans="1:3" x14ac:dyDescent="0.2">
      <c r="A8" s="163"/>
      <c r="B8" s="163"/>
      <c r="C8" s="163"/>
    </row>
    <row r="9" spans="1:3" x14ac:dyDescent="0.2">
      <c r="A9" s="163"/>
      <c r="B9" s="163"/>
      <c r="C9" s="163"/>
    </row>
    <row r="10" spans="1:3" x14ac:dyDescent="0.2">
      <c r="A10" s="163"/>
      <c r="B10" s="163"/>
      <c r="C10" s="163"/>
    </row>
    <row r="11" spans="1:3" x14ac:dyDescent="0.2">
      <c r="A11" s="163"/>
      <c r="B11" s="163"/>
      <c r="C11" s="163"/>
    </row>
    <row r="12" spans="1:3" x14ac:dyDescent="0.2">
      <c r="A12" s="163"/>
      <c r="B12" s="163"/>
      <c r="C12" s="163"/>
    </row>
    <row r="13" spans="1:3" x14ac:dyDescent="0.2">
      <c r="A13" s="163"/>
      <c r="B13" s="163"/>
      <c r="C13" s="163"/>
    </row>
    <row r="14" spans="1:3" x14ac:dyDescent="0.2">
      <c r="A14" s="163"/>
      <c r="B14" s="163"/>
      <c r="C14" s="163"/>
    </row>
    <row r="15" spans="1:3" x14ac:dyDescent="0.2">
      <c r="A15" s="163"/>
      <c r="B15" s="163"/>
      <c r="C15" s="163"/>
    </row>
    <row r="16" spans="1:3" x14ac:dyDescent="0.2">
      <c r="A16" s="163"/>
      <c r="B16" s="163"/>
      <c r="C16" s="163"/>
    </row>
    <row r="17" spans="1:3" x14ac:dyDescent="0.2">
      <c r="A17" s="163"/>
      <c r="B17" s="163"/>
      <c r="C17" s="163"/>
    </row>
    <row r="18" spans="1:3" x14ac:dyDescent="0.2">
      <c r="A18" s="163"/>
      <c r="B18" s="163"/>
      <c r="C18" s="163"/>
    </row>
    <row r="19" spans="1:3" x14ac:dyDescent="0.2">
      <c r="A19" s="163"/>
      <c r="B19" s="163"/>
      <c r="C19" s="163"/>
    </row>
    <row r="20" spans="1:3" x14ac:dyDescent="0.2">
      <c r="A20" s="163"/>
      <c r="B20" s="163"/>
      <c r="C20" s="163"/>
    </row>
    <row r="21" spans="1:3" x14ac:dyDescent="0.2">
      <c r="A21" s="163"/>
      <c r="B21" s="163"/>
      <c r="C21" s="163"/>
    </row>
    <row r="22" spans="1:3" x14ac:dyDescent="0.2">
      <c r="A22" s="163"/>
      <c r="B22" s="163"/>
      <c r="C22" s="163"/>
    </row>
    <row r="23" spans="1:3" x14ac:dyDescent="0.2">
      <c r="A23" s="163"/>
      <c r="B23" s="163"/>
      <c r="C23" s="163"/>
    </row>
    <row r="24" spans="1:3" x14ac:dyDescent="0.2">
      <c r="A24" s="163"/>
      <c r="B24" s="163"/>
      <c r="C24" s="163"/>
    </row>
    <row r="25" spans="1:3" x14ac:dyDescent="0.2">
      <c r="A25" s="163"/>
      <c r="B25" s="163"/>
      <c r="C25" s="163"/>
    </row>
    <row r="26" spans="1:3" x14ac:dyDescent="0.2">
      <c r="A26" s="163"/>
      <c r="B26" s="163"/>
      <c r="C26" s="163"/>
    </row>
    <row r="27" spans="1:3" x14ac:dyDescent="0.2">
      <c r="A27" s="163"/>
      <c r="B27" s="163"/>
      <c r="C27" s="163"/>
    </row>
    <row r="28" spans="1:3" x14ac:dyDescent="0.2">
      <c r="A28" s="163"/>
      <c r="B28" s="163"/>
      <c r="C28" s="163"/>
    </row>
    <row r="29" spans="1:3" x14ac:dyDescent="0.2">
      <c r="A29" s="163"/>
      <c r="B29" s="163"/>
      <c r="C29" s="163"/>
    </row>
    <row r="30" spans="1:3" x14ac:dyDescent="0.2">
      <c r="A30" s="163"/>
      <c r="B30" s="163"/>
      <c r="C30" s="163"/>
    </row>
    <row r="31" spans="1:3" x14ac:dyDescent="0.2">
      <c r="A31" s="163"/>
      <c r="B31" s="163"/>
      <c r="C31" s="163"/>
    </row>
    <row r="32" spans="1:3" x14ac:dyDescent="0.2">
      <c r="A32" s="163"/>
      <c r="B32" s="163"/>
      <c r="C32" s="163"/>
    </row>
    <row r="33" spans="1:3" x14ac:dyDescent="0.2">
      <c r="A33" s="163"/>
      <c r="B33" s="163"/>
      <c r="C33" s="163"/>
    </row>
    <row r="34" spans="1:3" x14ac:dyDescent="0.2">
      <c r="A34" s="163"/>
      <c r="B34" s="163"/>
      <c r="C34" s="163"/>
    </row>
    <row r="35" spans="1:3" x14ac:dyDescent="0.2">
      <c r="A35" s="163"/>
      <c r="B35" s="163"/>
      <c r="C35" s="163"/>
    </row>
    <row r="36" spans="1:3" x14ac:dyDescent="0.2">
      <c r="A36" s="163"/>
      <c r="B36" s="163"/>
      <c r="C36" s="163"/>
    </row>
    <row r="37" spans="1:3" x14ac:dyDescent="0.2">
      <c r="A37" s="163"/>
      <c r="B37" s="163"/>
      <c r="C37" s="163"/>
    </row>
    <row r="38" spans="1:3" x14ac:dyDescent="0.2">
      <c r="A38" s="163"/>
      <c r="B38" s="163"/>
      <c r="C38" s="163"/>
    </row>
    <row r="39" spans="1:3" x14ac:dyDescent="0.2">
      <c r="A39" s="163"/>
      <c r="B39" s="163"/>
      <c r="C39" s="163"/>
    </row>
    <row r="40" spans="1:3" x14ac:dyDescent="0.2">
      <c r="A40" s="163"/>
      <c r="B40" s="163"/>
      <c r="C40" s="163"/>
    </row>
    <row r="41" spans="1:3" x14ac:dyDescent="0.2">
      <c r="A41" s="163"/>
      <c r="B41" s="163"/>
      <c r="C41" s="163"/>
    </row>
    <row r="42" spans="1:3" x14ac:dyDescent="0.2">
      <c r="A42" s="163"/>
      <c r="B42" s="163"/>
      <c r="C42" s="163"/>
    </row>
    <row r="43" spans="1:3" x14ac:dyDescent="0.2">
      <c r="A43" s="163"/>
      <c r="B43" s="163"/>
      <c r="C43" s="163"/>
    </row>
    <row r="44" spans="1:3" x14ac:dyDescent="0.2">
      <c r="A44" s="163"/>
      <c r="B44" s="163"/>
      <c r="C44" s="163"/>
    </row>
    <row r="45" spans="1:3" x14ac:dyDescent="0.2">
      <c r="A45" s="163"/>
      <c r="B45" s="163"/>
      <c r="C45" s="163"/>
    </row>
    <row r="46" spans="1:3" x14ac:dyDescent="0.2">
      <c r="A46" s="163"/>
      <c r="B46" s="163"/>
      <c r="C46" s="163"/>
    </row>
    <row r="47" spans="1:3" x14ac:dyDescent="0.2">
      <c r="A47" s="163"/>
      <c r="B47" s="163"/>
      <c r="C47" s="163"/>
    </row>
    <row r="48" spans="1:3" x14ac:dyDescent="0.2">
      <c r="A48" s="163"/>
      <c r="B48" s="163"/>
      <c r="C48" s="163"/>
    </row>
    <row r="49" spans="1:3" x14ac:dyDescent="0.2">
      <c r="A49" s="163"/>
      <c r="B49" s="163"/>
      <c r="C49" s="163"/>
    </row>
    <row r="50" spans="1:3" x14ac:dyDescent="0.2">
      <c r="A50" s="163"/>
      <c r="B50" s="163"/>
      <c r="C50" s="163"/>
    </row>
    <row r="51" spans="1:3" x14ac:dyDescent="0.2">
      <c r="A51" s="163"/>
      <c r="B51" s="163"/>
      <c r="C51" s="163"/>
    </row>
    <row r="52" spans="1:3" x14ac:dyDescent="0.2">
      <c r="A52" s="163"/>
      <c r="B52" s="163"/>
      <c r="C52" s="163"/>
    </row>
    <row r="53" spans="1:3" x14ac:dyDescent="0.2">
      <c r="A53" s="163"/>
      <c r="B53" s="163"/>
      <c r="C53" s="163"/>
    </row>
    <row r="54" spans="1:3" x14ac:dyDescent="0.2">
      <c r="A54" s="163"/>
      <c r="B54" s="163"/>
      <c r="C54" s="163"/>
    </row>
    <row r="55" spans="1:3" x14ac:dyDescent="0.2">
      <c r="A55" s="163"/>
      <c r="B55" s="163"/>
      <c r="C55" s="163"/>
    </row>
    <row r="56" spans="1:3" x14ac:dyDescent="0.2">
      <c r="A56" s="163"/>
      <c r="B56" s="163"/>
      <c r="C56" s="163"/>
    </row>
    <row r="57" spans="1:3" x14ac:dyDescent="0.2">
      <c r="A57" s="163"/>
      <c r="B57" s="163"/>
      <c r="C57" s="163"/>
    </row>
    <row r="58" spans="1:3" x14ac:dyDescent="0.2">
      <c r="A58" s="163"/>
      <c r="B58" s="163"/>
      <c r="C58" s="163"/>
    </row>
    <row r="59" spans="1:3" x14ac:dyDescent="0.2">
      <c r="A59" s="163"/>
      <c r="B59" s="163"/>
      <c r="C59" s="163"/>
    </row>
    <row r="60" spans="1:3" x14ac:dyDescent="0.2">
      <c r="A60" s="163"/>
      <c r="B60" s="163"/>
      <c r="C60" s="163"/>
    </row>
    <row r="61" spans="1:3" x14ac:dyDescent="0.2">
      <c r="A61" s="163"/>
      <c r="B61" s="163"/>
      <c r="C61" s="163"/>
    </row>
  </sheetData>
  <mergeCells count="60">
    <mergeCell ref="A2:C2"/>
    <mergeCell ref="A13:C13"/>
    <mergeCell ref="A12:C12"/>
    <mergeCell ref="A11:C11"/>
    <mergeCell ref="A10:C10"/>
    <mergeCell ref="A9:C9"/>
    <mergeCell ref="A8:C8"/>
    <mergeCell ref="A7:C7"/>
    <mergeCell ref="A6:C6"/>
    <mergeCell ref="A5:C5"/>
    <mergeCell ref="A4:C4"/>
    <mergeCell ref="A3:C3"/>
    <mergeCell ref="A19:C19"/>
    <mergeCell ref="A18:C18"/>
    <mergeCell ref="A17:C17"/>
    <mergeCell ref="A16:C16"/>
    <mergeCell ref="A15:C15"/>
    <mergeCell ref="A14:C14"/>
    <mergeCell ref="A58:C58"/>
    <mergeCell ref="A59:C59"/>
    <mergeCell ref="A60:C60"/>
    <mergeCell ref="A61:C61"/>
    <mergeCell ref="A21:C21"/>
    <mergeCell ref="A20:C20"/>
    <mergeCell ref="A52:C52"/>
    <mergeCell ref="A53:C53"/>
    <mergeCell ref="A54:C54"/>
    <mergeCell ref="A55:C55"/>
    <mergeCell ref="A56:C56"/>
    <mergeCell ref="A57:C57"/>
    <mergeCell ref="A46:C46"/>
    <mergeCell ref="A47:C47"/>
    <mergeCell ref="A48:C48"/>
    <mergeCell ref="A49:C49"/>
    <mergeCell ref="A50:C50"/>
    <mergeCell ref="A51:C51"/>
    <mergeCell ref="A40:C40"/>
    <mergeCell ref="A41:C41"/>
    <mergeCell ref="A42:C42"/>
    <mergeCell ref="A43:C43"/>
    <mergeCell ref="A44:C44"/>
    <mergeCell ref="A45:C45"/>
    <mergeCell ref="A39:C39"/>
    <mergeCell ref="A28:C28"/>
    <mergeCell ref="A29:C29"/>
    <mergeCell ref="A30:C30"/>
    <mergeCell ref="A31:C31"/>
    <mergeCell ref="A32:C32"/>
    <mergeCell ref="A33:C33"/>
    <mergeCell ref="A34:C34"/>
    <mergeCell ref="A35:C35"/>
    <mergeCell ref="A36:C36"/>
    <mergeCell ref="A37:C37"/>
    <mergeCell ref="A38:C38"/>
    <mergeCell ref="A27:C27"/>
    <mergeCell ref="A22:C22"/>
    <mergeCell ref="A23:C23"/>
    <mergeCell ref="A24:C24"/>
    <mergeCell ref="A25:C25"/>
    <mergeCell ref="A26:C26"/>
  </mergeCells>
  <pageMargins left="0.5" right="0.5" top="0.5" bottom="0.5" header="0.3" footer="0.3"/>
  <pageSetup paperSize="9" fitToHeight="0"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ExportSheets">
                <anchor moveWithCells="1" sizeWithCells="1">
                  <from>
                    <xdr:col>4</xdr:col>
                    <xdr:colOff>0</xdr:colOff>
                    <xdr:row>5</xdr:row>
                    <xdr:rowOff>12700</xdr:rowOff>
                  </from>
                  <to>
                    <xdr:col>6</xdr:col>
                    <xdr:colOff>177800</xdr:colOff>
                    <xdr:row>7</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Y192"/>
  <sheetViews>
    <sheetView zoomScale="90" workbookViewId="0">
      <pane xSplit="1" topLeftCell="B1" activePane="topRight" state="frozen"/>
      <selection activeCell="A47" sqref="A47"/>
      <selection pane="topRight" activeCell="BQ69" sqref="BQ69:BU70"/>
    </sheetView>
  </sheetViews>
  <sheetFormatPr baseColWidth="10" defaultColWidth="8.83203125" defaultRowHeight="15" x14ac:dyDescent="0.2"/>
  <cols>
    <col min="1" max="1" width="25.83203125" style="10" customWidth="1"/>
    <col min="2" max="2" width="4.83203125" style="10" customWidth="1"/>
    <col min="3" max="4" width="8.83203125" style="10"/>
    <col min="5" max="5" width="8.83203125" style="10" customWidth="1"/>
    <col min="6" max="16384" width="8.83203125" style="10"/>
  </cols>
  <sheetData>
    <row r="1" spans="1:12" ht="30" customHeight="1" x14ac:dyDescent="0.2">
      <c r="A1" s="31" t="s">
        <v>78</v>
      </c>
    </row>
    <row r="2" spans="1:12" ht="19" x14ac:dyDescent="0.2">
      <c r="A2" s="32" t="s">
        <v>37</v>
      </c>
      <c r="B2" s="12"/>
      <c r="C2" s="12"/>
      <c r="D2" s="12"/>
      <c r="E2" s="12"/>
      <c r="F2" s="12"/>
      <c r="G2" s="12"/>
      <c r="H2" s="12"/>
      <c r="I2" s="12"/>
      <c r="J2" s="12"/>
      <c r="K2" s="12"/>
      <c r="L2" s="12"/>
    </row>
    <row r="3" spans="1:12" s="13" customFormat="1" ht="29" customHeight="1" x14ac:dyDescent="0.2">
      <c r="A3" s="33" t="s">
        <v>38</v>
      </c>
      <c r="B3" s="14"/>
      <c r="C3" s="60" t="s">
        <v>45</v>
      </c>
      <c r="D3" s="24" t="s">
        <v>39</v>
      </c>
      <c r="E3" s="14"/>
      <c r="F3" s="130" t="s">
        <v>46</v>
      </c>
      <c r="G3" s="129" t="s">
        <v>40</v>
      </c>
      <c r="H3" s="14"/>
      <c r="I3" s="36" t="s">
        <v>41</v>
      </c>
    </row>
    <row r="4" spans="1:12" x14ac:dyDescent="0.2">
      <c r="A4" s="15" t="s">
        <v>209</v>
      </c>
      <c r="C4" s="18" t="s">
        <v>23</v>
      </c>
      <c r="D4" s="19">
        <f t="shared" ref="D4:D35" si="0">BX67</f>
        <v>40.28</v>
      </c>
      <c r="F4" s="18" t="s">
        <v>23</v>
      </c>
      <c r="G4" s="19">
        <f>AG130</f>
        <v>25.84</v>
      </c>
      <c r="I4" s="123">
        <f>SUM(D4,G4)/100</f>
        <v>0.66120000000000001</v>
      </c>
      <c r="K4" s="10" t="s">
        <v>44</v>
      </c>
    </row>
    <row r="5" spans="1:12" x14ac:dyDescent="0.2">
      <c r="A5" s="16" t="s">
        <v>210</v>
      </c>
      <c r="C5" s="7" t="s">
        <v>23</v>
      </c>
      <c r="D5" s="20">
        <f t="shared" si="0"/>
        <v>56.75</v>
      </c>
      <c r="F5" s="7" t="s">
        <v>23</v>
      </c>
      <c r="G5" s="20">
        <f t="shared" ref="G5:G63" si="1">AG131</f>
        <v>23.34</v>
      </c>
      <c r="I5" s="124">
        <f t="shared" ref="I5:I63" si="2">SUM(D5,G5)/100</f>
        <v>0.80090000000000006</v>
      </c>
      <c r="K5" s="10" t="s">
        <v>23</v>
      </c>
    </row>
    <row r="6" spans="1:12" x14ac:dyDescent="0.2">
      <c r="A6" s="16"/>
      <c r="C6" s="7"/>
      <c r="D6" s="20">
        <v>0</v>
      </c>
      <c r="F6" s="7"/>
      <c r="G6" s="20">
        <f t="shared" si="1"/>
        <v>0</v>
      </c>
      <c r="I6" s="124">
        <f t="shared" si="2"/>
        <v>0</v>
      </c>
      <c r="K6" s="10" t="s">
        <v>35</v>
      </c>
    </row>
    <row r="7" spans="1:12" x14ac:dyDescent="0.2">
      <c r="A7" s="16"/>
      <c r="C7" s="7"/>
      <c r="D7" s="20">
        <v>0</v>
      </c>
      <c r="F7" s="7"/>
      <c r="G7" s="20">
        <f t="shared" si="1"/>
        <v>0</v>
      </c>
      <c r="I7" s="124">
        <f t="shared" si="2"/>
        <v>0</v>
      </c>
    </row>
    <row r="8" spans="1:12" x14ac:dyDescent="0.2">
      <c r="A8" s="16"/>
      <c r="C8" s="7"/>
      <c r="D8" s="20">
        <v>0</v>
      </c>
      <c r="F8" s="7"/>
      <c r="G8" s="20">
        <f t="shared" si="1"/>
        <v>0</v>
      </c>
      <c r="I8" s="124">
        <f t="shared" si="2"/>
        <v>0</v>
      </c>
    </row>
    <row r="9" spans="1:12" x14ac:dyDescent="0.2">
      <c r="A9" s="16"/>
      <c r="C9" s="7"/>
      <c r="D9" s="20">
        <v>0</v>
      </c>
      <c r="F9" s="7"/>
      <c r="G9" s="20">
        <f t="shared" si="1"/>
        <v>0</v>
      </c>
      <c r="I9" s="124">
        <f t="shared" si="2"/>
        <v>0</v>
      </c>
    </row>
    <row r="10" spans="1:12" x14ac:dyDescent="0.2">
      <c r="A10" s="16"/>
      <c r="C10" s="7"/>
      <c r="D10" s="20">
        <v>0</v>
      </c>
      <c r="F10" s="7"/>
      <c r="G10" s="20">
        <f t="shared" si="1"/>
        <v>0</v>
      </c>
      <c r="I10" s="124">
        <f t="shared" si="2"/>
        <v>0</v>
      </c>
    </row>
    <row r="11" spans="1:12" x14ac:dyDescent="0.2">
      <c r="A11" s="16"/>
      <c r="C11" s="7"/>
      <c r="D11" s="20">
        <v>0</v>
      </c>
      <c r="F11" s="7"/>
      <c r="G11" s="20">
        <f t="shared" si="1"/>
        <v>0</v>
      </c>
      <c r="I11" s="124">
        <f t="shared" si="2"/>
        <v>0</v>
      </c>
    </row>
    <row r="12" spans="1:12" x14ac:dyDescent="0.2">
      <c r="A12" s="16"/>
      <c r="C12" s="7"/>
      <c r="D12" s="20">
        <v>0</v>
      </c>
      <c r="F12" s="7"/>
      <c r="G12" s="20">
        <f t="shared" si="1"/>
        <v>0</v>
      </c>
      <c r="I12" s="124">
        <f t="shared" si="2"/>
        <v>0</v>
      </c>
    </row>
    <row r="13" spans="1:12" x14ac:dyDescent="0.2">
      <c r="A13" s="16"/>
      <c r="C13" s="7"/>
      <c r="D13" s="20">
        <v>0</v>
      </c>
      <c r="F13" s="7"/>
      <c r="G13" s="20">
        <f t="shared" si="1"/>
        <v>0</v>
      </c>
      <c r="I13" s="124">
        <f t="shared" si="2"/>
        <v>0</v>
      </c>
    </row>
    <row r="14" spans="1:12" x14ac:dyDescent="0.2">
      <c r="A14" s="16"/>
      <c r="C14" s="7"/>
      <c r="D14" s="20">
        <v>0</v>
      </c>
      <c r="F14" s="7"/>
      <c r="G14" s="20">
        <f t="shared" si="1"/>
        <v>0</v>
      </c>
      <c r="I14" s="124">
        <f t="shared" si="2"/>
        <v>0</v>
      </c>
    </row>
    <row r="15" spans="1:12" x14ac:dyDescent="0.2">
      <c r="A15" s="16"/>
      <c r="C15" s="7"/>
      <c r="D15" s="20">
        <v>0</v>
      </c>
      <c r="F15" s="7"/>
      <c r="G15" s="20">
        <f t="shared" si="1"/>
        <v>0</v>
      </c>
      <c r="I15" s="124">
        <f t="shared" si="2"/>
        <v>0</v>
      </c>
    </row>
    <row r="16" spans="1:12" x14ac:dyDescent="0.2">
      <c r="A16" s="16"/>
      <c r="C16" s="7"/>
      <c r="D16" s="20">
        <f t="shared" si="0"/>
        <v>0</v>
      </c>
      <c r="F16" s="7"/>
      <c r="G16" s="20">
        <f t="shared" si="1"/>
        <v>0</v>
      </c>
      <c r="I16" s="124">
        <f t="shared" si="2"/>
        <v>0</v>
      </c>
    </row>
    <row r="17" spans="1:9" x14ac:dyDescent="0.2">
      <c r="A17" s="16"/>
      <c r="C17" s="7"/>
      <c r="D17" s="20">
        <f t="shared" si="0"/>
        <v>0</v>
      </c>
      <c r="F17" s="7"/>
      <c r="G17" s="20">
        <f t="shared" si="1"/>
        <v>0</v>
      </c>
      <c r="I17" s="124">
        <f t="shared" si="2"/>
        <v>0</v>
      </c>
    </row>
    <row r="18" spans="1:9" x14ac:dyDescent="0.2">
      <c r="A18" s="16"/>
      <c r="C18" s="7"/>
      <c r="D18" s="20">
        <f t="shared" si="0"/>
        <v>0</v>
      </c>
      <c r="F18" s="7"/>
      <c r="G18" s="20">
        <f t="shared" si="1"/>
        <v>0</v>
      </c>
      <c r="I18" s="124">
        <f t="shared" si="2"/>
        <v>0</v>
      </c>
    </row>
    <row r="19" spans="1:9" x14ac:dyDescent="0.2">
      <c r="A19" s="16"/>
      <c r="C19" s="7"/>
      <c r="D19" s="20">
        <f t="shared" si="0"/>
        <v>0</v>
      </c>
      <c r="F19" s="7"/>
      <c r="G19" s="20">
        <f t="shared" si="1"/>
        <v>0</v>
      </c>
      <c r="I19" s="124">
        <f t="shared" si="2"/>
        <v>0</v>
      </c>
    </row>
    <row r="20" spans="1:9" x14ac:dyDescent="0.2">
      <c r="A20" s="16"/>
      <c r="C20" s="7"/>
      <c r="D20" s="20">
        <f t="shared" si="0"/>
        <v>0</v>
      </c>
      <c r="F20" s="7"/>
      <c r="G20" s="20">
        <f t="shared" si="1"/>
        <v>0</v>
      </c>
      <c r="I20" s="124">
        <f t="shared" si="2"/>
        <v>0</v>
      </c>
    </row>
    <row r="21" spans="1:9" x14ac:dyDescent="0.2">
      <c r="A21" s="16"/>
      <c r="C21" s="7"/>
      <c r="D21" s="20">
        <f t="shared" si="0"/>
        <v>0</v>
      </c>
      <c r="F21" s="7"/>
      <c r="G21" s="20">
        <f t="shared" si="1"/>
        <v>0</v>
      </c>
      <c r="I21" s="124">
        <f t="shared" si="2"/>
        <v>0</v>
      </c>
    </row>
    <row r="22" spans="1:9" x14ac:dyDescent="0.2">
      <c r="A22" s="16"/>
      <c r="C22" s="7"/>
      <c r="D22" s="20">
        <f t="shared" si="0"/>
        <v>0</v>
      </c>
      <c r="F22" s="7"/>
      <c r="G22" s="20">
        <f t="shared" si="1"/>
        <v>0</v>
      </c>
      <c r="I22" s="124">
        <f t="shared" si="2"/>
        <v>0</v>
      </c>
    </row>
    <row r="23" spans="1:9" x14ac:dyDescent="0.2">
      <c r="A23" s="16"/>
      <c r="C23" s="7"/>
      <c r="D23" s="20">
        <f t="shared" si="0"/>
        <v>0</v>
      </c>
      <c r="F23" s="7"/>
      <c r="G23" s="20">
        <f t="shared" si="1"/>
        <v>0</v>
      </c>
      <c r="I23" s="124">
        <f t="shared" si="2"/>
        <v>0</v>
      </c>
    </row>
    <row r="24" spans="1:9" x14ac:dyDescent="0.2">
      <c r="A24" s="16"/>
      <c r="C24" s="7"/>
      <c r="D24" s="20">
        <f t="shared" si="0"/>
        <v>0</v>
      </c>
      <c r="F24" s="7"/>
      <c r="G24" s="20">
        <f t="shared" si="1"/>
        <v>0</v>
      </c>
      <c r="I24" s="124">
        <f t="shared" si="2"/>
        <v>0</v>
      </c>
    </row>
    <row r="25" spans="1:9" x14ac:dyDescent="0.2">
      <c r="A25" s="16"/>
      <c r="C25" s="7"/>
      <c r="D25" s="20">
        <f t="shared" si="0"/>
        <v>0</v>
      </c>
      <c r="F25" s="7"/>
      <c r="G25" s="20">
        <f t="shared" si="1"/>
        <v>0</v>
      </c>
      <c r="I25" s="124">
        <f t="shared" si="2"/>
        <v>0</v>
      </c>
    </row>
    <row r="26" spans="1:9" x14ac:dyDescent="0.2">
      <c r="A26" s="16"/>
      <c r="C26" s="7"/>
      <c r="D26" s="20">
        <f t="shared" si="0"/>
        <v>0</v>
      </c>
      <c r="F26" s="7"/>
      <c r="G26" s="20">
        <f t="shared" si="1"/>
        <v>0</v>
      </c>
      <c r="I26" s="124">
        <f t="shared" si="2"/>
        <v>0</v>
      </c>
    </row>
    <row r="27" spans="1:9" x14ac:dyDescent="0.2">
      <c r="A27" s="16"/>
      <c r="C27" s="7"/>
      <c r="D27" s="20">
        <f t="shared" si="0"/>
        <v>0</v>
      </c>
      <c r="F27" s="7"/>
      <c r="G27" s="20">
        <f t="shared" si="1"/>
        <v>0</v>
      </c>
      <c r="I27" s="124">
        <f t="shared" si="2"/>
        <v>0</v>
      </c>
    </row>
    <row r="28" spans="1:9" x14ac:dyDescent="0.2">
      <c r="A28" s="16"/>
      <c r="C28" s="7"/>
      <c r="D28" s="20">
        <f t="shared" si="0"/>
        <v>0</v>
      </c>
      <c r="F28" s="7"/>
      <c r="G28" s="20">
        <f t="shared" si="1"/>
        <v>0</v>
      </c>
      <c r="I28" s="124">
        <f t="shared" si="2"/>
        <v>0</v>
      </c>
    </row>
    <row r="29" spans="1:9" x14ac:dyDescent="0.2">
      <c r="A29" s="16"/>
      <c r="C29" s="7"/>
      <c r="D29" s="20">
        <f t="shared" si="0"/>
        <v>0</v>
      </c>
      <c r="F29" s="7"/>
      <c r="G29" s="20">
        <f t="shared" si="1"/>
        <v>0</v>
      </c>
      <c r="I29" s="124">
        <f t="shared" si="2"/>
        <v>0</v>
      </c>
    </row>
    <row r="30" spans="1:9" x14ac:dyDescent="0.2">
      <c r="A30" s="16"/>
      <c r="C30" s="7"/>
      <c r="D30" s="20">
        <f t="shared" si="0"/>
        <v>0</v>
      </c>
      <c r="F30" s="7"/>
      <c r="G30" s="20">
        <f t="shared" si="1"/>
        <v>0</v>
      </c>
      <c r="I30" s="124">
        <f t="shared" si="2"/>
        <v>0</v>
      </c>
    </row>
    <row r="31" spans="1:9" x14ac:dyDescent="0.2">
      <c r="A31" s="16"/>
      <c r="C31" s="7"/>
      <c r="D31" s="20">
        <f t="shared" si="0"/>
        <v>0</v>
      </c>
      <c r="F31" s="7"/>
      <c r="G31" s="20">
        <f t="shared" si="1"/>
        <v>0</v>
      </c>
      <c r="I31" s="124">
        <f t="shared" si="2"/>
        <v>0</v>
      </c>
    </row>
    <row r="32" spans="1:9" x14ac:dyDescent="0.2">
      <c r="A32" s="16"/>
      <c r="C32" s="7"/>
      <c r="D32" s="20">
        <f t="shared" si="0"/>
        <v>0</v>
      </c>
      <c r="F32" s="7"/>
      <c r="G32" s="20">
        <f t="shared" si="1"/>
        <v>0</v>
      </c>
      <c r="I32" s="124">
        <f t="shared" si="2"/>
        <v>0</v>
      </c>
    </row>
    <row r="33" spans="1:9" x14ac:dyDescent="0.2">
      <c r="A33" s="16"/>
      <c r="C33" s="7"/>
      <c r="D33" s="20">
        <f t="shared" si="0"/>
        <v>0</v>
      </c>
      <c r="F33" s="7"/>
      <c r="G33" s="20">
        <f t="shared" si="1"/>
        <v>0</v>
      </c>
      <c r="I33" s="124">
        <f t="shared" si="2"/>
        <v>0</v>
      </c>
    </row>
    <row r="34" spans="1:9" x14ac:dyDescent="0.2">
      <c r="A34" s="16"/>
      <c r="C34" s="7"/>
      <c r="D34" s="20">
        <f t="shared" si="0"/>
        <v>0</v>
      </c>
      <c r="F34" s="7"/>
      <c r="G34" s="20">
        <f t="shared" si="1"/>
        <v>0</v>
      </c>
      <c r="I34" s="124">
        <f t="shared" si="2"/>
        <v>0</v>
      </c>
    </row>
    <row r="35" spans="1:9" x14ac:dyDescent="0.2">
      <c r="A35" s="16"/>
      <c r="C35" s="7"/>
      <c r="D35" s="20">
        <f t="shared" si="0"/>
        <v>0</v>
      </c>
      <c r="F35" s="7"/>
      <c r="G35" s="20">
        <f t="shared" si="1"/>
        <v>0</v>
      </c>
      <c r="I35" s="124">
        <f t="shared" si="2"/>
        <v>0</v>
      </c>
    </row>
    <row r="36" spans="1:9" x14ac:dyDescent="0.2">
      <c r="A36" s="16"/>
      <c r="C36" s="7"/>
      <c r="D36" s="20">
        <f t="shared" ref="D36:D63" si="3">BX99</f>
        <v>0</v>
      </c>
      <c r="F36" s="7"/>
      <c r="G36" s="20">
        <f t="shared" si="1"/>
        <v>0</v>
      </c>
      <c r="I36" s="124">
        <f t="shared" si="2"/>
        <v>0</v>
      </c>
    </row>
    <row r="37" spans="1:9" x14ac:dyDescent="0.2">
      <c r="A37" s="16"/>
      <c r="C37" s="7"/>
      <c r="D37" s="20">
        <f t="shared" si="3"/>
        <v>0</v>
      </c>
      <c r="F37" s="7"/>
      <c r="G37" s="20">
        <f t="shared" si="1"/>
        <v>0</v>
      </c>
      <c r="I37" s="124">
        <f t="shared" si="2"/>
        <v>0</v>
      </c>
    </row>
    <row r="38" spans="1:9" x14ac:dyDescent="0.2">
      <c r="A38" s="16"/>
      <c r="C38" s="7"/>
      <c r="D38" s="20">
        <f t="shared" si="3"/>
        <v>0</v>
      </c>
      <c r="F38" s="7"/>
      <c r="G38" s="20">
        <f t="shared" si="1"/>
        <v>0</v>
      </c>
      <c r="I38" s="124">
        <f t="shared" si="2"/>
        <v>0</v>
      </c>
    </row>
    <row r="39" spans="1:9" x14ac:dyDescent="0.2">
      <c r="A39" s="16"/>
      <c r="C39" s="7"/>
      <c r="D39" s="20">
        <f t="shared" si="3"/>
        <v>0</v>
      </c>
      <c r="F39" s="7"/>
      <c r="G39" s="20">
        <f t="shared" si="1"/>
        <v>0</v>
      </c>
      <c r="I39" s="124">
        <f t="shared" si="2"/>
        <v>0</v>
      </c>
    </row>
    <row r="40" spans="1:9" x14ac:dyDescent="0.2">
      <c r="A40" s="16"/>
      <c r="C40" s="7"/>
      <c r="D40" s="20">
        <f t="shared" si="3"/>
        <v>0</v>
      </c>
      <c r="F40" s="7"/>
      <c r="G40" s="20">
        <f t="shared" si="1"/>
        <v>0</v>
      </c>
      <c r="I40" s="124">
        <f t="shared" si="2"/>
        <v>0</v>
      </c>
    </row>
    <row r="41" spans="1:9" x14ac:dyDescent="0.2">
      <c r="A41" s="16"/>
      <c r="C41" s="7"/>
      <c r="D41" s="20">
        <f t="shared" si="3"/>
        <v>0</v>
      </c>
      <c r="F41" s="7"/>
      <c r="G41" s="20">
        <f t="shared" si="1"/>
        <v>0</v>
      </c>
      <c r="I41" s="124">
        <f t="shared" si="2"/>
        <v>0</v>
      </c>
    </row>
    <row r="42" spans="1:9" x14ac:dyDescent="0.2">
      <c r="A42" s="16"/>
      <c r="C42" s="7"/>
      <c r="D42" s="20">
        <f t="shared" si="3"/>
        <v>0</v>
      </c>
      <c r="F42" s="7"/>
      <c r="G42" s="20">
        <f t="shared" si="1"/>
        <v>0</v>
      </c>
      <c r="I42" s="124">
        <f t="shared" si="2"/>
        <v>0</v>
      </c>
    </row>
    <row r="43" spans="1:9" x14ac:dyDescent="0.2">
      <c r="A43" s="16"/>
      <c r="C43" s="7"/>
      <c r="D43" s="20">
        <f t="shared" si="3"/>
        <v>0</v>
      </c>
      <c r="F43" s="7"/>
      <c r="G43" s="20">
        <f t="shared" si="1"/>
        <v>0</v>
      </c>
      <c r="I43" s="124">
        <f t="shared" si="2"/>
        <v>0</v>
      </c>
    </row>
    <row r="44" spans="1:9" x14ac:dyDescent="0.2">
      <c r="A44" s="16"/>
      <c r="C44" s="7"/>
      <c r="D44" s="20">
        <f t="shared" si="3"/>
        <v>0</v>
      </c>
      <c r="F44" s="7"/>
      <c r="G44" s="20">
        <f t="shared" si="1"/>
        <v>0</v>
      </c>
      <c r="I44" s="124">
        <f t="shared" si="2"/>
        <v>0</v>
      </c>
    </row>
    <row r="45" spans="1:9" x14ac:dyDescent="0.2">
      <c r="A45" s="16"/>
      <c r="C45" s="7"/>
      <c r="D45" s="20">
        <f t="shared" si="3"/>
        <v>0</v>
      </c>
      <c r="F45" s="7"/>
      <c r="G45" s="20">
        <f t="shared" si="1"/>
        <v>0</v>
      </c>
      <c r="I45" s="124">
        <f t="shared" si="2"/>
        <v>0</v>
      </c>
    </row>
    <row r="46" spans="1:9" x14ac:dyDescent="0.2">
      <c r="A46" s="16"/>
      <c r="C46" s="7"/>
      <c r="D46" s="20">
        <f t="shared" si="3"/>
        <v>0</v>
      </c>
      <c r="F46" s="7"/>
      <c r="G46" s="20">
        <f t="shared" si="1"/>
        <v>0</v>
      </c>
      <c r="I46" s="124">
        <f t="shared" si="2"/>
        <v>0</v>
      </c>
    </row>
    <row r="47" spans="1:9" x14ac:dyDescent="0.2">
      <c r="A47" s="16"/>
      <c r="C47" s="7"/>
      <c r="D47" s="20">
        <f t="shared" si="3"/>
        <v>0</v>
      </c>
      <c r="F47" s="7"/>
      <c r="G47" s="20">
        <f t="shared" si="1"/>
        <v>0</v>
      </c>
      <c r="I47" s="124">
        <f t="shared" si="2"/>
        <v>0</v>
      </c>
    </row>
    <row r="48" spans="1:9" x14ac:dyDescent="0.2">
      <c r="A48" s="16"/>
      <c r="C48" s="7"/>
      <c r="D48" s="20">
        <f t="shared" si="3"/>
        <v>0</v>
      </c>
      <c r="F48" s="7"/>
      <c r="G48" s="20">
        <f t="shared" si="1"/>
        <v>0</v>
      </c>
      <c r="I48" s="124">
        <f t="shared" si="2"/>
        <v>0</v>
      </c>
    </row>
    <row r="49" spans="1:13" x14ac:dyDescent="0.2">
      <c r="A49" s="16"/>
      <c r="C49" s="7"/>
      <c r="D49" s="20">
        <f t="shared" si="3"/>
        <v>0</v>
      </c>
      <c r="F49" s="7"/>
      <c r="G49" s="20">
        <f t="shared" si="1"/>
        <v>0</v>
      </c>
      <c r="I49" s="124">
        <f t="shared" si="2"/>
        <v>0</v>
      </c>
    </row>
    <row r="50" spans="1:13" x14ac:dyDescent="0.2">
      <c r="A50" s="16"/>
      <c r="C50" s="7"/>
      <c r="D50" s="20">
        <f t="shared" si="3"/>
        <v>0</v>
      </c>
      <c r="F50" s="7"/>
      <c r="G50" s="20">
        <f t="shared" si="1"/>
        <v>0</v>
      </c>
      <c r="I50" s="124">
        <f t="shared" si="2"/>
        <v>0</v>
      </c>
    </row>
    <row r="51" spans="1:13" x14ac:dyDescent="0.2">
      <c r="A51" s="16"/>
      <c r="C51" s="7"/>
      <c r="D51" s="20">
        <f t="shared" si="3"/>
        <v>0</v>
      </c>
      <c r="F51" s="7"/>
      <c r="G51" s="20">
        <f t="shared" si="1"/>
        <v>0</v>
      </c>
      <c r="I51" s="124">
        <f t="shared" si="2"/>
        <v>0</v>
      </c>
    </row>
    <row r="52" spans="1:13" x14ac:dyDescent="0.2">
      <c r="A52" s="16"/>
      <c r="C52" s="7"/>
      <c r="D52" s="20">
        <f t="shared" si="3"/>
        <v>0</v>
      </c>
      <c r="F52" s="7"/>
      <c r="G52" s="20">
        <f t="shared" si="1"/>
        <v>0</v>
      </c>
      <c r="I52" s="124">
        <f t="shared" si="2"/>
        <v>0</v>
      </c>
    </row>
    <row r="53" spans="1:13" x14ac:dyDescent="0.2">
      <c r="A53" s="16"/>
      <c r="C53" s="7"/>
      <c r="D53" s="20">
        <f t="shared" si="3"/>
        <v>0</v>
      </c>
      <c r="F53" s="7"/>
      <c r="G53" s="20">
        <f t="shared" si="1"/>
        <v>0</v>
      </c>
      <c r="I53" s="124">
        <f t="shared" si="2"/>
        <v>0</v>
      </c>
    </row>
    <row r="54" spans="1:13" x14ac:dyDescent="0.2">
      <c r="A54" s="16"/>
      <c r="C54" s="7"/>
      <c r="D54" s="20">
        <f t="shared" si="3"/>
        <v>0</v>
      </c>
      <c r="F54" s="7"/>
      <c r="G54" s="20">
        <f t="shared" si="1"/>
        <v>0</v>
      </c>
      <c r="I54" s="124">
        <f t="shared" si="2"/>
        <v>0</v>
      </c>
    </row>
    <row r="55" spans="1:13" x14ac:dyDescent="0.2">
      <c r="A55" s="16"/>
      <c r="C55" s="7"/>
      <c r="D55" s="20">
        <f t="shared" si="3"/>
        <v>0</v>
      </c>
      <c r="F55" s="7"/>
      <c r="G55" s="20">
        <f t="shared" si="1"/>
        <v>0</v>
      </c>
      <c r="I55" s="124">
        <f t="shared" si="2"/>
        <v>0</v>
      </c>
    </row>
    <row r="56" spans="1:13" x14ac:dyDescent="0.2">
      <c r="A56" s="16"/>
      <c r="C56" s="7"/>
      <c r="D56" s="20">
        <f t="shared" si="3"/>
        <v>0</v>
      </c>
      <c r="F56" s="7"/>
      <c r="G56" s="20">
        <f t="shared" si="1"/>
        <v>0</v>
      </c>
      <c r="I56" s="124">
        <f t="shared" si="2"/>
        <v>0</v>
      </c>
    </row>
    <row r="57" spans="1:13" x14ac:dyDescent="0.2">
      <c r="A57" s="16"/>
      <c r="C57" s="7"/>
      <c r="D57" s="20">
        <f t="shared" si="3"/>
        <v>0</v>
      </c>
      <c r="F57" s="7"/>
      <c r="G57" s="20">
        <f t="shared" si="1"/>
        <v>0</v>
      </c>
      <c r="I57" s="124">
        <f t="shared" si="2"/>
        <v>0</v>
      </c>
    </row>
    <row r="58" spans="1:13" x14ac:dyDescent="0.2">
      <c r="A58" s="16"/>
      <c r="C58" s="7"/>
      <c r="D58" s="20">
        <f t="shared" si="3"/>
        <v>0</v>
      </c>
      <c r="F58" s="7"/>
      <c r="G58" s="20">
        <f t="shared" si="1"/>
        <v>0</v>
      </c>
      <c r="I58" s="124">
        <f t="shared" si="2"/>
        <v>0</v>
      </c>
    </row>
    <row r="59" spans="1:13" x14ac:dyDescent="0.2">
      <c r="A59" s="16"/>
      <c r="C59" s="7"/>
      <c r="D59" s="20">
        <f t="shared" si="3"/>
        <v>0</v>
      </c>
      <c r="F59" s="7"/>
      <c r="G59" s="20">
        <f t="shared" si="1"/>
        <v>0</v>
      </c>
      <c r="I59" s="124">
        <f t="shared" si="2"/>
        <v>0</v>
      </c>
    </row>
    <row r="60" spans="1:13" x14ac:dyDescent="0.2">
      <c r="A60" s="16"/>
      <c r="C60" s="7"/>
      <c r="D60" s="20">
        <f t="shared" si="3"/>
        <v>0</v>
      </c>
      <c r="F60" s="7"/>
      <c r="G60" s="20">
        <f t="shared" si="1"/>
        <v>0</v>
      </c>
      <c r="I60" s="124">
        <f t="shared" si="2"/>
        <v>0</v>
      </c>
      <c r="K60" s="10" t="s">
        <v>49</v>
      </c>
      <c r="M60" s="10">
        <f>COUNTIF(I4:I63,"&gt;=79.5%")</f>
        <v>1</v>
      </c>
    </row>
    <row r="61" spans="1:13" x14ac:dyDescent="0.2">
      <c r="A61" s="16"/>
      <c r="C61" s="7"/>
      <c r="D61" s="20">
        <f t="shared" si="3"/>
        <v>0</v>
      </c>
      <c r="F61" s="7"/>
      <c r="G61" s="20">
        <f t="shared" si="1"/>
        <v>0</v>
      </c>
      <c r="I61" s="124">
        <f t="shared" si="2"/>
        <v>0</v>
      </c>
      <c r="K61" s="10" t="s">
        <v>50</v>
      </c>
      <c r="M61" s="10">
        <f>COUNTIFS(I4:I63,"&gt;=65%", I4:I63,"&lt;=79%")</f>
        <v>1</v>
      </c>
    </row>
    <row r="62" spans="1:13" x14ac:dyDescent="0.2">
      <c r="A62" s="16"/>
      <c r="C62" s="7"/>
      <c r="D62" s="20">
        <f t="shared" si="3"/>
        <v>0</v>
      </c>
      <c r="F62" s="7"/>
      <c r="G62" s="20">
        <f t="shared" si="1"/>
        <v>0</v>
      </c>
      <c r="I62" s="124">
        <f t="shared" si="2"/>
        <v>0</v>
      </c>
      <c r="K62" s="10" t="s">
        <v>51</v>
      </c>
      <c r="M62" s="10">
        <f>COUNTIFS(I4:I63,"&gt;=50%", I4:I63,"&lt;=64%")</f>
        <v>0</v>
      </c>
    </row>
    <row r="63" spans="1:13" x14ac:dyDescent="0.2">
      <c r="A63" s="17"/>
      <c r="C63" s="21"/>
      <c r="D63" s="22">
        <f t="shared" si="3"/>
        <v>0</v>
      </c>
      <c r="F63" s="21"/>
      <c r="G63" s="22">
        <f t="shared" si="1"/>
        <v>0</v>
      </c>
      <c r="I63" s="125">
        <f t="shared" si="2"/>
        <v>0</v>
      </c>
      <c r="K63" s="10" t="s">
        <v>52</v>
      </c>
      <c r="M63" s="10">
        <f>COUNTIF(I4:I63,"&lt;=50%")</f>
        <v>58</v>
      </c>
    </row>
    <row r="65" spans="1:77" ht="19" x14ac:dyDescent="0.25">
      <c r="A65" s="164" t="s">
        <v>79</v>
      </c>
      <c r="B65" s="165"/>
      <c r="C65" s="166"/>
    </row>
    <row r="66" spans="1:77" ht="31" customHeight="1" x14ac:dyDescent="0.2">
      <c r="A66" s="115" t="s">
        <v>38</v>
      </c>
      <c r="B66" s="12"/>
      <c r="C66" s="34" t="s">
        <v>42</v>
      </c>
      <c r="D66" s="35">
        <v>1</v>
      </c>
      <c r="E66" s="35">
        <v>2</v>
      </c>
      <c r="F66" s="96">
        <v>3</v>
      </c>
      <c r="G66" s="97" t="s">
        <v>81</v>
      </c>
      <c r="H66" s="49"/>
      <c r="I66" s="23">
        <v>1.1000000000000001</v>
      </c>
      <c r="J66" s="50">
        <v>1.2</v>
      </c>
      <c r="K66" s="50">
        <v>1.3</v>
      </c>
      <c r="L66" s="50">
        <v>1.4</v>
      </c>
      <c r="M66" s="50">
        <v>1.5</v>
      </c>
      <c r="N66" s="50">
        <v>1.6</v>
      </c>
      <c r="O66" s="50">
        <v>1.7</v>
      </c>
      <c r="P66" s="50">
        <v>1.8</v>
      </c>
      <c r="Q66" s="50">
        <v>1.9</v>
      </c>
      <c r="R66" s="52" t="s">
        <v>86</v>
      </c>
      <c r="S66" s="50">
        <v>1.1100000000000001</v>
      </c>
      <c r="T66" s="50">
        <v>1.1200000000000001</v>
      </c>
      <c r="U66" s="50">
        <v>1.1299999999999999</v>
      </c>
      <c r="V66" s="50" t="s">
        <v>88</v>
      </c>
      <c r="W66" s="24">
        <v>1.1499999999999999</v>
      </c>
      <c r="X66" s="50">
        <v>2.1</v>
      </c>
      <c r="Y66" s="50">
        <v>2.2000000000000002</v>
      </c>
      <c r="Z66" s="50">
        <v>2.2999999999999998</v>
      </c>
      <c r="AA66" s="50">
        <v>2.4</v>
      </c>
      <c r="AB66" s="50">
        <v>2.5</v>
      </c>
      <c r="AC66" s="50">
        <v>2.6</v>
      </c>
      <c r="AD66" s="50">
        <v>2.7</v>
      </c>
      <c r="AE66" s="50">
        <v>2.8</v>
      </c>
      <c r="AF66" s="50">
        <v>2.9</v>
      </c>
      <c r="AG66" s="52" t="s">
        <v>87</v>
      </c>
      <c r="AH66" s="50">
        <v>2.11</v>
      </c>
      <c r="AI66" s="50" t="s">
        <v>89</v>
      </c>
      <c r="AJ66" s="24" t="s">
        <v>90</v>
      </c>
      <c r="AK66" s="48" t="s">
        <v>82</v>
      </c>
      <c r="AL66" s="49"/>
      <c r="AM66" s="23">
        <v>1</v>
      </c>
      <c r="AN66" s="50">
        <v>2</v>
      </c>
      <c r="AO66" s="50">
        <v>3</v>
      </c>
      <c r="AP66" s="50">
        <v>4</v>
      </c>
      <c r="AQ66" s="50">
        <v>5</v>
      </c>
      <c r="AR66" s="50">
        <v>6</v>
      </c>
      <c r="AS66" s="50">
        <v>7</v>
      </c>
      <c r="AT66" s="50">
        <v>8</v>
      </c>
      <c r="AU66" s="50">
        <v>9</v>
      </c>
      <c r="AV66" s="50">
        <v>10</v>
      </c>
      <c r="AW66" s="50">
        <v>11</v>
      </c>
      <c r="AX66" s="24" t="s">
        <v>91</v>
      </c>
      <c r="AY66" s="51" t="s">
        <v>83</v>
      </c>
      <c r="AZ66" s="49"/>
      <c r="BA66" s="23">
        <v>1</v>
      </c>
      <c r="BB66" s="50">
        <v>2</v>
      </c>
      <c r="BC66" s="50">
        <v>3</v>
      </c>
      <c r="BD66" s="50">
        <v>4</v>
      </c>
      <c r="BE66" s="50">
        <v>5</v>
      </c>
      <c r="BF66" s="50">
        <v>6</v>
      </c>
      <c r="BG66" s="50">
        <v>7</v>
      </c>
      <c r="BH66" s="50">
        <v>8</v>
      </c>
      <c r="BI66" s="50">
        <v>9</v>
      </c>
      <c r="BJ66" s="50">
        <v>10</v>
      </c>
      <c r="BK66" s="50">
        <v>11</v>
      </c>
      <c r="BL66" s="50">
        <v>12</v>
      </c>
      <c r="BM66" s="50">
        <v>13</v>
      </c>
      <c r="BN66" s="24" t="s">
        <v>92</v>
      </c>
      <c r="BO66" s="51" t="s">
        <v>84</v>
      </c>
      <c r="BP66" s="49"/>
      <c r="BQ66" s="23" t="s">
        <v>93</v>
      </c>
      <c r="BR66" s="50">
        <v>1</v>
      </c>
      <c r="BS66" s="50">
        <v>2</v>
      </c>
      <c r="BT66" s="50">
        <v>3</v>
      </c>
      <c r="BU66" s="24">
        <v>4</v>
      </c>
      <c r="BV66" s="51" t="s">
        <v>85</v>
      </c>
      <c r="BW66" s="12"/>
      <c r="BX66" s="37" t="s">
        <v>80</v>
      </c>
      <c r="BY66" s="38" t="s">
        <v>43</v>
      </c>
    </row>
    <row r="67" spans="1:77" x14ac:dyDescent="0.2">
      <c r="A67" s="25" t="str">
        <f>A4</f>
        <v>Learner One</v>
      </c>
      <c r="D67" s="98">
        <v>0.5</v>
      </c>
      <c r="E67" s="61">
        <v>1.5</v>
      </c>
      <c r="F67" s="61">
        <f>SUM(V67,AI67,AJ67,AX67,BN67,BQ67)</f>
        <v>1.5</v>
      </c>
      <c r="G67" s="56">
        <f>SUM(D67:F67)</f>
        <v>3.5</v>
      </c>
      <c r="I67" s="7">
        <v>0</v>
      </c>
      <c r="J67">
        <v>1</v>
      </c>
      <c r="K67">
        <v>0</v>
      </c>
      <c r="L67">
        <v>1</v>
      </c>
      <c r="M67">
        <v>2</v>
      </c>
      <c r="N67">
        <v>0.5</v>
      </c>
      <c r="O67">
        <v>0</v>
      </c>
      <c r="P67">
        <v>0</v>
      </c>
      <c r="Q67">
        <v>0.5</v>
      </c>
      <c r="R67">
        <v>0</v>
      </c>
      <c r="S67">
        <v>1</v>
      </c>
      <c r="T67">
        <v>1</v>
      </c>
      <c r="U67">
        <v>1</v>
      </c>
      <c r="V67" s="53">
        <v>0.5</v>
      </c>
      <c r="W67" s="8">
        <v>0</v>
      </c>
      <c r="X67" s="18">
        <v>0</v>
      </c>
      <c r="Y67" s="46">
        <v>0</v>
      </c>
      <c r="Z67" s="46">
        <v>0</v>
      </c>
      <c r="AA67" s="46">
        <v>0</v>
      </c>
      <c r="AB67" s="46">
        <v>0</v>
      </c>
      <c r="AC67" s="46">
        <v>0</v>
      </c>
      <c r="AD67" s="46">
        <v>0</v>
      </c>
      <c r="AE67" s="46">
        <v>0</v>
      </c>
      <c r="AF67" s="46">
        <v>0</v>
      </c>
      <c r="AG67" s="46">
        <v>0</v>
      </c>
      <c r="AH67" s="46">
        <v>0</v>
      </c>
      <c r="AI67" s="55">
        <v>0</v>
      </c>
      <c r="AJ67" s="55">
        <v>0</v>
      </c>
      <c r="AK67" s="56">
        <f>SUM(I67:U67,W67,X67:AH67)</f>
        <v>8</v>
      </c>
      <c r="AM67" s="18">
        <v>0</v>
      </c>
      <c r="AN67" s="46">
        <v>0</v>
      </c>
      <c r="AO67" s="46">
        <v>0</v>
      </c>
      <c r="AP67" s="46">
        <v>0.5</v>
      </c>
      <c r="AQ67" s="46">
        <v>0.36</v>
      </c>
      <c r="AR67" s="46">
        <v>0.5</v>
      </c>
      <c r="AS67" s="46">
        <v>1</v>
      </c>
      <c r="AT67" s="46">
        <v>0.5</v>
      </c>
      <c r="AU67" s="46">
        <v>2</v>
      </c>
      <c r="AV67" s="46">
        <v>1.34</v>
      </c>
      <c r="AW67" s="46">
        <v>2.08</v>
      </c>
      <c r="AX67" s="55">
        <v>0.5</v>
      </c>
      <c r="AY67" s="56">
        <f>SUM(AM67:AW67)</f>
        <v>8.2799999999999994</v>
      </c>
      <c r="BA67" s="18">
        <v>0</v>
      </c>
      <c r="BB67" s="46">
        <v>1</v>
      </c>
      <c r="BC67" s="46">
        <v>0</v>
      </c>
      <c r="BD67" s="46">
        <v>1</v>
      </c>
      <c r="BE67" s="46">
        <v>3</v>
      </c>
      <c r="BF67" s="46">
        <v>1</v>
      </c>
      <c r="BG67" s="46">
        <v>1</v>
      </c>
      <c r="BH67" s="46">
        <v>1</v>
      </c>
      <c r="BI67" s="46">
        <v>1</v>
      </c>
      <c r="BJ67" s="46">
        <v>1</v>
      </c>
      <c r="BK67" s="46">
        <v>1</v>
      </c>
      <c r="BL67" s="46">
        <v>2</v>
      </c>
      <c r="BM67" s="46">
        <v>0</v>
      </c>
      <c r="BN67" s="117">
        <v>0.5</v>
      </c>
      <c r="BO67" s="56">
        <f>SUM(BA67:BM67)</f>
        <v>13</v>
      </c>
      <c r="BQ67" s="120">
        <v>0</v>
      </c>
      <c r="BR67" s="46">
        <v>2.5</v>
      </c>
      <c r="BS67" s="46">
        <v>2</v>
      </c>
      <c r="BT67" s="46">
        <v>2</v>
      </c>
      <c r="BU67" s="46">
        <v>1</v>
      </c>
      <c r="BV67" s="56">
        <f>SUM(BR67:BU67)</f>
        <v>7.5</v>
      </c>
      <c r="BX67" s="56">
        <f>SUM(G67,AK67,AY67,BO67,BV67)</f>
        <v>40.28</v>
      </c>
      <c r="BY67" s="126">
        <f>BX67/70</f>
        <v>0.5754285714285714</v>
      </c>
    </row>
    <row r="68" spans="1:77" x14ac:dyDescent="0.2">
      <c r="A68" s="26" t="str">
        <f t="shared" ref="A68:A126" si="4">A5</f>
        <v>Learner Two</v>
      </c>
      <c r="D68" s="98">
        <v>0.5</v>
      </c>
      <c r="E68" s="61">
        <v>1.5</v>
      </c>
      <c r="F68" s="61">
        <f>SUM(V68,AI68,AJ68,AX68,BN68,BQ68)</f>
        <v>1.25</v>
      </c>
      <c r="G68" s="57">
        <f t="shared" ref="G68:G126" si="5">SUM(D68:F68)</f>
        <v>3.25</v>
      </c>
      <c r="I68" s="7">
        <v>0</v>
      </c>
      <c r="J68">
        <v>1</v>
      </c>
      <c r="K68">
        <v>1</v>
      </c>
      <c r="L68">
        <v>1</v>
      </c>
      <c r="M68">
        <v>2</v>
      </c>
      <c r="N68">
        <v>1</v>
      </c>
      <c r="O68">
        <v>1</v>
      </c>
      <c r="P68">
        <v>2</v>
      </c>
      <c r="Q68">
        <v>0.5</v>
      </c>
      <c r="R68">
        <v>1</v>
      </c>
      <c r="S68">
        <v>1</v>
      </c>
      <c r="T68">
        <v>1</v>
      </c>
      <c r="U68">
        <v>1</v>
      </c>
      <c r="V68" s="53">
        <v>0</v>
      </c>
      <c r="W68" s="8">
        <v>1</v>
      </c>
      <c r="X68" s="7">
        <v>0</v>
      </c>
      <c r="Y68">
        <v>1</v>
      </c>
      <c r="Z68">
        <v>1</v>
      </c>
      <c r="AA68">
        <v>1</v>
      </c>
      <c r="AB68">
        <v>3</v>
      </c>
      <c r="AC68">
        <v>1</v>
      </c>
      <c r="AD68">
        <v>2.5</v>
      </c>
      <c r="AE68">
        <v>1</v>
      </c>
      <c r="AF68">
        <v>1</v>
      </c>
      <c r="AG68">
        <v>1</v>
      </c>
      <c r="AH68">
        <v>0</v>
      </c>
      <c r="AI68" s="53">
        <v>0</v>
      </c>
      <c r="AJ68" s="53">
        <v>0</v>
      </c>
      <c r="AK68" s="57">
        <f t="shared" ref="AK68:AK126" si="6">SUM(I68:U68,W68,X68:AH68)</f>
        <v>27</v>
      </c>
      <c r="AM68" s="7">
        <v>0</v>
      </c>
      <c r="AN68">
        <v>0.5</v>
      </c>
      <c r="AO68">
        <v>0</v>
      </c>
      <c r="AP68">
        <v>0.5</v>
      </c>
      <c r="AQ68">
        <v>0.5</v>
      </c>
      <c r="AR68">
        <v>0.5</v>
      </c>
      <c r="AS68">
        <v>0</v>
      </c>
      <c r="AT68">
        <v>0</v>
      </c>
      <c r="AU68">
        <v>2</v>
      </c>
      <c r="AV68">
        <v>2</v>
      </c>
      <c r="AW68">
        <v>2.5</v>
      </c>
      <c r="AX68" s="53">
        <v>0.5</v>
      </c>
      <c r="AY68" s="57">
        <f t="shared" ref="AY68:AY126" si="7">SUM(AM68:AW68)</f>
        <v>8.5</v>
      </c>
      <c r="BA68" s="7">
        <v>0</v>
      </c>
      <c r="BB68">
        <v>1</v>
      </c>
      <c r="BC68">
        <v>0</v>
      </c>
      <c r="BD68">
        <v>1</v>
      </c>
      <c r="BE68">
        <v>0</v>
      </c>
      <c r="BF68">
        <v>0</v>
      </c>
      <c r="BG68">
        <v>1</v>
      </c>
      <c r="BH68">
        <v>1</v>
      </c>
      <c r="BI68">
        <v>1</v>
      </c>
      <c r="BJ68">
        <v>0.5</v>
      </c>
      <c r="BK68">
        <v>0</v>
      </c>
      <c r="BL68">
        <v>3</v>
      </c>
      <c r="BM68">
        <v>0</v>
      </c>
      <c r="BN68" s="118">
        <v>0.5</v>
      </c>
      <c r="BO68" s="57">
        <f t="shared" ref="BO68:BO126" si="8">SUM(BA68:BM68)</f>
        <v>8.5</v>
      </c>
      <c r="BQ68" s="121">
        <v>0.25</v>
      </c>
      <c r="BR68">
        <v>3.5</v>
      </c>
      <c r="BS68">
        <v>2</v>
      </c>
      <c r="BT68">
        <v>2</v>
      </c>
      <c r="BU68">
        <v>2</v>
      </c>
      <c r="BV68" s="57">
        <f t="shared" ref="BV68:BV126" si="9">SUM(BR68:BU68)</f>
        <v>9.5</v>
      </c>
      <c r="BX68" s="57">
        <f t="shared" ref="BX68:BX126" si="10">SUM(G68,AK68,AY68,BO68,BV68)</f>
        <v>56.75</v>
      </c>
      <c r="BY68" s="127">
        <f t="shared" ref="BY68:BY126" si="11">BX68/70</f>
        <v>0.81071428571428572</v>
      </c>
    </row>
    <row r="69" spans="1:77" x14ac:dyDescent="0.2">
      <c r="A69" s="26">
        <f t="shared" si="4"/>
        <v>0</v>
      </c>
      <c r="D69" s="98"/>
      <c r="E69" s="61"/>
      <c r="F69" s="61">
        <f t="shared" ref="F69:F126" si="12">SUM(V69,AI69,AJ69,AX69,BN69,BQ69)</f>
        <v>0</v>
      </c>
      <c r="G69" s="57">
        <f>SUM(D69:F69)</f>
        <v>0</v>
      </c>
      <c r="I69" s="7"/>
      <c r="J69"/>
      <c r="K69"/>
      <c r="L69"/>
      <c r="M69"/>
      <c r="N69"/>
      <c r="O69"/>
      <c r="P69"/>
      <c r="Q69"/>
      <c r="R69"/>
      <c r="S69"/>
      <c r="T69"/>
      <c r="U69"/>
      <c r="V69" s="53"/>
      <c r="W69" s="8"/>
      <c r="X69" s="7"/>
      <c r="Y69"/>
      <c r="Z69"/>
      <c r="AA69"/>
      <c r="AB69"/>
      <c r="AC69"/>
      <c r="AD69"/>
      <c r="AE69"/>
      <c r="AF69"/>
      <c r="AG69"/>
      <c r="AH69"/>
      <c r="AI69" s="53"/>
      <c r="AJ69" s="53"/>
      <c r="AK69" s="57">
        <f t="shared" si="6"/>
        <v>0</v>
      </c>
      <c r="AM69" s="7"/>
      <c r="AN69"/>
      <c r="AO69"/>
      <c r="AP69"/>
      <c r="AQ69"/>
      <c r="AR69"/>
      <c r="AS69"/>
      <c r="AT69"/>
      <c r="AU69"/>
      <c r="AV69"/>
      <c r="AW69"/>
      <c r="AX69" s="53"/>
      <c r="AY69" s="57">
        <f t="shared" si="7"/>
        <v>0</v>
      </c>
      <c r="BA69" s="7"/>
      <c r="BB69"/>
      <c r="BC69"/>
      <c r="BD69"/>
      <c r="BE69"/>
      <c r="BF69"/>
      <c r="BG69"/>
      <c r="BH69"/>
      <c r="BI69"/>
      <c r="BJ69"/>
      <c r="BK69"/>
      <c r="BL69"/>
      <c r="BM69"/>
      <c r="BN69" s="118"/>
      <c r="BO69" s="57">
        <f t="shared" si="8"/>
        <v>0</v>
      </c>
      <c r="BQ69" s="121"/>
      <c r="BR69"/>
      <c r="BS69"/>
      <c r="BT69"/>
      <c r="BU69"/>
      <c r="BV69" s="57">
        <f t="shared" si="9"/>
        <v>0</v>
      </c>
      <c r="BX69" s="57">
        <f t="shared" si="10"/>
        <v>0</v>
      </c>
      <c r="BY69" s="127">
        <f t="shared" si="11"/>
        <v>0</v>
      </c>
    </row>
    <row r="70" spans="1:77" x14ac:dyDescent="0.2">
      <c r="A70" s="26">
        <f t="shared" si="4"/>
        <v>0</v>
      </c>
      <c r="D70" s="98"/>
      <c r="E70" s="61"/>
      <c r="F70" s="61">
        <f t="shared" si="12"/>
        <v>0</v>
      </c>
      <c r="G70" s="57">
        <f t="shared" si="5"/>
        <v>0</v>
      </c>
      <c r="I70" s="7"/>
      <c r="J70"/>
      <c r="K70"/>
      <c r="L70"/>
      <c r="M70"/>
      <c r="N70"/>
      <c r="O70"/>
      <c r="P70"/>
      <c r="Q70"/>
      <c r="R70"/>
      <c r="S70"/>
      <c r="T70"/>
      <c r="U70"/>
      <c r="V70" s="53"/>
      <c r="W70" s="8"/>
      <c r="X70" s="7"/>
      <c r="Y70"/>
      <c r="Z70"/>
      <c r="AA70"/>
      <c r="AB70"/>
      <c r="AC70"/>
      <c r="AD70"/>
      <c r="AE70"/>
      <c r="AF70"/>
      <c r="AG70"/>
      <c r="AH70"/>
      <c r="AI70" s="53"/>
      <c r="AJ70" s="53"/>
      <c r="AK70" s="57">
        <f t="shared" si="6"/>
        <v>0</v>
      </c>
      <c r="AM70" s="7"/>
      <c r="AN70"/>
      <c r="AO70"/>
      <c r="AP70"/>
      <c r="AQ70"/>
      <c r="AR70"/>
      <c r="AS70"/>
      <c r="AT70"/>
      <c r="AU70"/>
      <c r="AV70"/>
      <c r="AW70"/>
      <c r="AX70" s="53"/>
      <c r="AY70" s="57">
        <f t="shared" si="7"/>
        <v>0</v>
      </c>
      <c r="BA70" s="7"/>
      <c r="BB70"/>
      <c r="BC70"/>
      <c r="BD70"/>
      <c r="BE70"/>
      <c r="BF70"/>
      <c r="BG70"/>
      <c r="BH70"/>
      <c r="BI70"/>
      <c r="BJ70"/>
      <c r="BK70"/>
      <c r="BL70"/>
      <c r="BM70"/>
      <c r="BN70" s="118"/>
      <c r="BO70" s="57">
        <f t="shared" si="8"/>
        <v>0</v>
      </c>
      <c r="BQ70" s="121"/>
      <c r="BR70"/>
      <c r="BS70"/>
      <c r="BT70"/>
      <c r="BU70"/>
      <c r="BV70" s="57">
        <f t="shared" si="9"/>
        <v>0</v>
      </c>
      <c r="BX70" s="57">
        <f t="shared" si="10"/>
        <v>0</v>
      </c>
      <c r="BY70" s="127">
        <f t="shared" si="11"/>
        <v>0</v>
      </c>
    </row>
    <row r="71" spans="1:77" x14ac:dyDescent="0.2">
      <c r="A71" s="26">
        <f t="shared" si="4"/>
        <v>0</v>
      </c>
      <c r="D71" s="98"/>
      <c r="E71" s="61"/>
      <c r="F71" s="61">
        <f t="shared" si="12"/>
        <v>0</v>
      </c>
      <c r="G71" s="57">
        <f t="shared" si="5"/>
        <v>0</v>
      </c>
      <c r="I71" s="7"/>
      <c r="J71"/>
      <c r="K71"/>
      <c r="L71"/>
      <c r="M71"/>
      <c r="N71"/>
      <c r="O71"/>
      <c r="P71"/>
      <c r="Q71"/>
      <c r="R71"/>
      <c r="S71"/>
      <c r="T71"/>
      <c r="U71"/>
      <c r="V71" s="53"/>
      <c r="W71" s="8"/>
      <c r="X71" s="7"/>
      <c r="Y71"/>
      <c r="Z71"/>
      <c r="AA71"/>
      <c r="AB71"/>
      <c r="AC71"/>
      <c r="AD71"/>
      <c r="AE71"/>
      <c r="AF71"/>
      <c r="AG71"/>
      <c r="AH71"/>
      <c r="AI71" s="53"/>
      <c r="AJ71" s="53"/>
      <c r="AK71" s="57">
        <f t="shared" si="6"/>
        <v>0</v>
      </c>
      <c r="AM71" s="7"/>
      <c r="AN71"/>
      <c r="AO71"/>
      <c r="AP71"/>
      <c r="AQ71"/>
      <c r="AR71"/>
      <c r="AS71"/>
      <c r="AT71"/>
      <c r="AU71"/>
      <c r="AV71"/>
      <c r="AW71"/>
      <c r="AX71" s="53"/>
      <c r="AY71" s="57">
        <f t="shared" si="7"/>
        <v>0</v>
      </c>
      <c r="BA71" s="7"/>
      <c r="BB71"/>
      <c r="BC71"/>
      <c r="BD71"/>
      <c r="BE71"/>
      <c r="BF71"/>
      <c r="BG71"/>
      <c r="BH71"/>
      <c r="BI71"/>
      <c r="BJ71"/>
      <c r="BK71"/>
      <c r="BL71"/>
      <c r="BM71"/>
      <c r="BN71" s="118"/>
      <c r="BO71" s="57">
        <f t="shared" si="8"/>
        <v>0</v>
      </c>
      <c r="BQ71" s="121"/>
      <c r="BR71"/>
      <c r="BS71"/>
      <c r="BT71"/>
      <c r="BU71"/>
      <c r="BV71" s="57">
        <f t="shared" si="9"/>
        <v>0</v>
      </c>
      <c r="BX71" s="57">
        <f t="shared" si="10"/>
        <v>0</v>
      </c>
      <c r="BY71" s="127">
        <f t="shared" si="11"/>
        <v>0</v>
      </c>
    </row>
    <row r="72" spans="1:77" x14ac:dyDescent="0.2">
      <c r="A72" s="26">
        <f t="shared" si="4"/>
        <v>0</v>
      </c>
      <c r="D72" s="98"/>
      <c r="E72" s="61"/>
      <c r="F72" s="61">
        <f t="shared" si="12"/>
        <v>0</v>
      </c>
      <c r="G72" s="57">
        <f t="shared" si="5"/>
        <v>0</v>
      </c>
      <c r="I72" s="7"/>
      <c r="J72"/>
      <c r="K72"/>
      <c r="L72"/>
      <c r="M72"/>
      <c r="N72"/>
      <c r="O72"/>
      <c r="P72"/>
      <c r="Q72"/>
      <c r="R72"/>
      <c r="S72"/>
      <c r="T72"/>
      <c r="U72"/>
      <c r="V72" s="53"/>
      <c r="W72" s="8"/>
      <c r="X72" s="7"/>
      <c r="Y72"/>
      <c r="Z72"/>
      <c r="AA72"/>
      <c r="AB72"/>
      <c r="AC72"/>
      <c r="AD72"/>
      <c r="AE72"/>
      <c r="AF72"/>
      <c r="AG72"/>
      <c r="AH72"/>
      <c r="AI72" s="53"/>
      <c r="AJ72" s="53"/>
      <c r="AK72" s="57">
        <f t="shared" si="6"/>
        <v>0</v>
      </c>
      <c r="AM72" s="7"/>
      <c r="AN72"/>
      <c r="AO72"/>
      <c r="AP72"/>
      <c r="AQ72"/>
      <c r="AR72"/>
      <c r="AS72"/>
      <c r="AT72"/>
      <c r="AU72"/>
      <c r="AV72"/>
      <c r="AW72"/>
      <c r="AX72" s="53"/>
      <c r="AY72" s="57">
        <f t="shared" si="7"/>
        <v>0</v>
      </c>
      <c r="BA72" s="7"/>
      <c r="BB72"/>
      <c r="BC72"/>
      <c r="BD72"/>
      <c r="BE72"/>
      <c r="BF72"/>
      <c r="BG72"/>
      <c r="BH72"/>
      <c r="BI72"/>
      <c r="BJ72"/>
      <c r="BK72"/>
      <c r="BL72"/>
      <c r="BM72"/>
      <c r="BN72" s="118"/>
      <c r="BO72" s="57">
        <f t="shared" si="8"/>
        <v>0</v>
      </c>
      <c r="BQ72" s="121"/>
      <c r="BR72"/>
      <c r="BS72"/>
      <c r="BT72"/>
      <c r="BU72"/>
      <c r="BV72" s="57">
        <f t="shared" si="9"/>
        <v>0</v>
      </c>
      <c r="BX72" s="57">
        <f t="shared" si="10"/>
        <v>0</v>
      </c>
      <c r="BY72" s="127">
        <f t="shared" si="11"/>
        <v>0</v>
      </c>
    </row>
    <row r="73" spans="1:77" x14ac:dyDescent="0.2">
      <c r="A73" s="26">
        <f t="shared" si="4"/>
        <v>0</v>
      </c>
      <c r="D73" s="98"/>
      <c r="E73" s="61"/>
      <c r="F73" s="61">
        <f t="shared" si="12"/>
        <v>0</v>
      </c>
      <c r="G73" s="57">
        <f t="shared" si="5"/>
        <v>0</v>
      </c>
      <c r="I73" s="7"/>
      <c r="J73"/>
      <c r="K73"/>
      <c r="L73"/>
      <c r="M73"/>
      <c r="N73"/>
      <c r="O73"/>
      <c r="P73"/>
      <c r="Q73"/>
      <c r="R73"/>
      <c r="S73"/>
      <c r="T73"/>
      <c r="U73"/>
      <c r="V73" s="53"/>
      <c r="W73" s="8"/>
      <c r="X73" s="7"/>
      <c r="Y73"/>
      <c r="Z73"/>
      <c r="AA73"/>
      <c r="AB73"/>
      <c r="AC73"/>
      <c r="AD73"/>
      <c r="AE73"/>
      <c r="AF73"/>
      <c r="AG73"/>
      <c r="AH73"/>
      <c r="AI73" s="53"/>
      <c r="AJ73" s="53"/>
      <c r="AK73" s="57">
        <f t="shared" si="6"/>
        <v>0</v>
      </c>
      <c r="AM73" s="7"/>
      <c r="AN73"/>
      <c r="AO73"/>
      <c r="AP73"/>
      <c r="AQ73"/>
      <c r="AR73"/>
      <c r="AS73"/>
      <c r="AT73"/>
      <c r="AU73"/>
      <c r="AV73"/>
      <c r="AW73"/>
      <c r="AX73" s="53"/>
      <c r="AY73" s="57">
        <f t="shared" si="7"/>
        <v>0</v>
      </c>
      <c r="BA73" s="7"/>
      <c r="BB73"/>
      <c r="BC73"/>
      <c r="BD73"/>
      <c r="BE73"/>
      <c r="BF73"/>
      <c r="BG73"/>
      <c r="BH73"/>
      <c r="BI73"/>
      <c r="BJ73"/>
      <c r="BK73"/>
      <c r="BL73"/>
      <c r="BM73"/>
      <c r="BN73" s="118"/>
      <c r="BO73" s="57">
        <f t="shared" si="8"/>
        <v>0</v>
      </c>
      <c r="BQ73" s="121"/>
      <c r="BR73"/>
      <c r="BS73"/>
      <c r="BT73"/>
      <c r="BU73"/>
      <c r="BV73" s="57">
        <f t="shared" si="9"/>
        <v>0</v>
      </c>
      <c r="BX73" s="57">
        <f t="shared" si="10"/>
        <v>0</v>
      </c>
      <c r="BY73" s="127">
        <f t="shared" si="11"/>
        <v>0</v>
      </c>
    </row>
    <row r="74" spans="1:77" x14ac:dyDescent="0.2">
      <c r="A74" s="26">
        <f t="shared" si="4"/>
        <v>0</v>
      </c>
      <c r="D74" s="98"/>
      <c r="E74" s="61"/>
      <c r="F74" s="61">
        <f t="shared" si="12"/>
        <v>0</v>
      </c>
      <c r="G74" s="57">
        <f t="shared" si="5"/>
        <v>0</v>
      </c>
      <c r="I74" s="7"/>
      <c r="J74"/>
      <c r="K74"/>
      <c r="L74"/>
      <c r="M74"/>
      <c r="N74"/>
      <c r="O74"/>
      <c r="P74"/>
      <c r="Q74"/>
      <c r="R74"/>
      <c r="S74"/>
      <c r="T74"/>
      <c r="U74"/>
      <c r="V74" s="53"/>
      <c r="W74" s="8"/>
      <c r="X74" s="7"/>
      <c r="Y74"/>
      <c r="Z74"/>
      <c r="AA74"/>
      <c r="AB74"/>
      <c r="AC74"/>
      <c r="AD74"/>
      <c r="AE74"/>
      <c r="AF74"/>
      <c r="AG74"/>
      <c r="AH74"/>
      <c r="AI74" s="53"/>
      <c r="AJ74" s="53"/>
      <c r="AK74" s="57">
        <f t="shared" si="6"/>
        <v>0</v>
      </c>
      <c r="AM74" s="7"/>
      <c r="AN74"/>
      <c r="AO74"/>
      <c r="AP74"/>
      <c r="AQ74"/>
      <c r="AR74"/>
      <c r="AS74"/>
      <c r="AT74"/>
      <c r="AU74"/>
      <c r="AV74"/>
      <c r="AW74"/>
      <c r="AX74" s="53"/>
      <c r="AY74" s="57">
        <f t="shared" si="7"/>
        <v>0</v>
      </c>
      <c r="BA74" s="7"/>
      <c r="BB74"/>
      <c r="BC74"/>
      <c r="BD74"/>
      <c r="BE74"/>
      <c r="BF74"/>
      <c r="BG74"/>
      <c r="BH74"/>
      <c r="BI74"/>
      <c r="BJ74"/>
      <c r="BK74"/>
      <c r="BL74"/>
      <c r="BM74"/>
      <c r="BN74" s="118"/>
      <c r="BO74" s="57">
        <f t="shared" si="8"/>
        <v>0</v>
      </c>
      <c r="BQ74" s="121"/>
      <c r="BR74"/>
      <c r="BS74"/>
      <c r="BT74"/>
      <c r="BU74"/>
      <c r="BV74" s="57">
        <f t="shared" si="9"/>
        <v>0</v>
      </c>
      <c r="BX74" s="57">
        <f t="shared" si="10"/>
        <v>0</v>
      </c>
      <c r="BY74" s="127">
        <f t="shared" si="11"/>
        <v>0</v>
      </c>
    </row>
    <row r="75" spans="1:77" x14ac:dyDescent="0.2">
      <c r="A75" s="26">
        <f t="shared" si="4"/>
        <v>0</v>
      </c>
      <c r="D75" s="98"/>
      <c r="E75" s="61"/>
      <c r="F75" s="61">
        <f t="shared" si="12"/>
        <v>0</v>
      </c>
      <c r="G75" s="57">
        <f t="shared" si="5"/>
        <v>0</v>
      </c>
      <c r="I75" s="7"/>
      <c r="J75"/>
      <c r="K75"/>
      <c r="L75"/>
      <c r="M75"/>
      <c r="N75"/>
      <c r="O75"/>
      <c r="P75"/>
      <c r="Q75"/>
      <c r="R75"/>
      <c r="S75"/>
      <c r="T75"/>
      <c r="U75"/>
      <c r="V75" s="53"/>
      <c r="W75" s="8"/>
      <c r="X75" s="7"/>
      <c r="Y75"/>
      <c r="Z75"/>
      <c r="AA75"/>
      <c r="AB75"/>
      <c r="AC75"/>
      <c r="AD75"/>
      <c r="AE75"/>
      <c r="AF75"/>
      <c r="AG75"/>
      <c r="AH75"/>
      <c r="AI75" s="53"/>
      <c r="AJ75" s="53"/>
      <c r="AK75" s="57">
        <f t="shared" si="6"/>
        <v>0</v>
      </c>
      <c r="AM75" s="7"/>
      <c r="AN75"/>
      <c r="AO75"/>
      <c r="AP75"/>
      <c r="AQ75"/>
      <c r="AR75"/>
      <c r="AS75"/>
      <c r="AT75"/>
      <c r="AU75"/>
      <c r="AV75"/>
      <c r="AW75"/>
      <c r="AX75" s="53"/>
      <c r="AY75" s="57">
        <f t="shared" si="7"/>
        <v>0</v>
      </c>
      <c r="BA75" s="7"/>
      <c r="BB75"/>
      <c r="BC75"/>
      <c r="BD75"/>
      <c r="BE75"/>
      <c r="BF75"/>
      <c r="BG75"/>
      <c r="BH75"/>
      <c r="BI75"/>
      <c r="BJ75"/>
      <c r="BK75"/>
      <c r="BL75"/>
      <c r="BM75"/>
      <c r="BN75" s="118"/>
      <c r="BO75" s="57">
        <f t="shared" si="8"/>
        <v>0</v>
      </c>
      <c r="BQ75" s="121"/>
      <c r="BR75"/>
      <c r="BS75"/>
      <c r="BT75"/>
      <c r="BU75"/>
      <c r="BV75" s="57">
        <f t="shared" si="9"/>
        <v>0</v>
      </c>
      <c r="BX75" s="57">
        <f t="shared" si="10"/>
        <v>0</v>
      </c>
      <c r="BY75" s="127">
        <f t="shared" si="11"/>
        <v>0</v>
      </c>
    </row>
    <row r="76" spans="1:77" x14ac:dyDescent="0.2">
      <c r="A76" s="26">
        <f t="shared" si="4"/>
        <v>0</v>
      </c>
      <c r="D76" s="98"/>
      <c r="E76" s="61"/>
      <c r="F76" s="61">
        <f t="shared" si="12"/>
        <v>0</v>
      </c>
      <c r="G76" s="57">
        <f t="shared" si="5"/>
        <v>0</v>
      </c>
      <c r="I76" s="7"/>
      <c r="J76"/>
      <c r="K76"/>
      <c r="L76"/>
      <c r="M76"/>
      <c r="N76"/>
      <c r="O76"/>
      <c r="P76"/>
      <c r="Q76"/>
      <c r="R76"/>
      <c r="S76"/>
      <c r="T76"/>
      <c r="U76"/>
      <c r="V76" s="53"/>
      <c r="W76" s="8"/>
      <c r="X76" s="7"/>
      <c r="Y76"/>
      <c r="Z76"/>
      <c r="AA76"/>
      <c r="AB76"/>
      <c r="AC76"/>
      <c r="AD76"/>
      <c r="AE76"/>
      <c r="AF76"/>
      <c r="AG76"/>
      <c r="AH76"/>
      <c r="AI76" s="53"/>
      <c r="AJ76" s="53"/>
      <c r="AK76" s="57">
        <f t="shared" si="6"/>
        <v>0</v>
      </c>
      <c r="AM76" s="7"/>
      <c r="AN76"/>
      <c r="AO76"/>
      <c r="AP76"/>
      <c r="AQ76"/>
      <c r="AR76"/>
      <c r="AS76"/>
      <c r="AT76"/>
      <c r="AU76"/>
      <c r="AV76"/>
      <c r="AW76"/>
      <c r="AX76" s="53"/>
      <c r="AY76" s="57">
        <f t="shared" si="7"/>
        <v>0</v>
      </c>
      <c r="BA76" s="7"/>
      <c r="BB76"/>
      <c r="BC76"/>
      <c r="BD76"/>
      <c r="BE76"/>
      <c r="BF76"/>
      <c r="BG76"/>
      <c r="BH76"/>
      <c r="BI76"/>
      <c r="BJ76"/>
      <c r="BK76"/>
      <c r="BL76"/>
      <c r="BM76"/>
      <c r="BN76" s="118"/>
      <c r="BO76" s="57">
        <f t="shared" si="8"/>
        <v>0</v>
      </c>
      <c r="BQ76" s="121"/>
      <c r="BR76"/>
      <c r="BS76"/>
      <c r="BT76"/>
      <c r="BU76"/>
      <c r="BV76" s="57">
        <f t="shared" si="9"/>
        <v>0</v>
      </c>
      <c r="BX76" s="57">
        <f t="shared" si="10"/>
        <v>0</v>
      </c>
      <c r="BY76" s="127">
        <f t="shared" si="11"/>
        <v>0</v>
      </c>
    </row>
    <row r="77" spans="1:77" x14ac:dyDescent="0.2">
      <c r="A77" s="26">
        <f t="shared" si="4"/>
        <v>0</v>
      </c>
      <c r="D77" s="98"/>
      <c r="E77" s="61"/>
      <c r="F77" s="61">
        <f t="shared" si="12"/>
        <v>0</v>
      </c>
      <c r="G77" s="57">
        <f t="shared" si="5"/>
        <v>0</v>
      </c>
      <c r="I77" s="7"/>
      <c r="J77"/>
      <c r="K77"/>
      <c r="L77"/>
      <c r="M77"/>
      <c r="N77"/>
      <c r="O77"/>
      <c r="P77"/>
      <c r="Q77"/>
      <c r="R77"/>
      <c r="S77"/>
      <c r="T77"/>
      <c r="U77"/>
      <c r="V77" s="53"/>
      <c r="W77" s="8"/>
      <c r="X77" s="7"/>
      <c r="Y77"/>
      <c r="Z77"/>
      <c r="AA77"/>
      <c r="AB77"/>
      <c r="AC77"/>
      <c r="AD77"/>
      <c r="AE77"/>
      <c r="AF77"/>
      <c r="AG77"/>
      <c r="AH77"/>
      <c r="AI77" s="53"/>
      <c r="AJ77" s="53"/>
      <c r="AK77" s="57">
        <f t="shared" si="6"/>
        <v>0</v>
      </c>
      <c r="AM77" s="7"/>
      <c r="AN77"/>
      <c r="AO77"/>
      <c r="AP77"/>
      <c r="AQ77"/>
      <c r="AR77"/>
      <c r="AS77"/>
      <c r="AT77"/>
      <c r="AU77"/>
      <c r="AV77"/>
      <c r="AW77"/>
      <c r="AX77" s="53"/>
      <c r="AY77" s="57">
        <f t="shared" si="7"/>
        <v>0</v>
      </c>
      <c r="BA77" s="7"/>
      <c r="BB77"/>
      <c r="BC77"/>
      <c r="BD77"/>
      <c r="BE77"/>
      <c r="BF77"/>
      <c r="BG77"/>
      <c r="BH77"/>
      <c r="BI77"/>
      <c r="BJ77"/>
      <c r="BK77"/>
      <c r="BL77"/>
      <c r="BM77"/>
      <c r="BN77" s="118"/>
      <c r="BO77" s="57">
        <f t="shared" si="8"/>
        <v>0</v>
      </c>
      <c r="BQ77" s="121"/>
      <c r="BR77"/>
      <c r="BS77"/>
      <c r="BT77"/>
      <c r="BU77"/>
      <c r="BV77" s="57">
        <f t="shared" si="9"/>
        <v>0</v>
      </c>
      <c r="BX77" s="57">
        <f t="shared" si="10"/>
        <v>0</v>
      </c>
      <c r="BY77" s="127">
        <f t="shared" si="11"/>
        <v>0</v>
      </c>
    </row>
    <row r="78" spans="1:77" x14ac:dyDescent="0.2">
      <c r="A78" s="26">
        <f t="shared" si="4"/>
        <v>0</v>
      </c>
      <c r="D78" s="98"/>
      <c r="E78" s="61"/>
      <c r="F78" s="61">
        <f t="shared" si="12"/>
        <v>0</v>
      </c>
      <c r="G78" s="57">
        <f t="shared" si="5"/>
        <v>0</v>
      </c>
      <c r="I78" s="7"/>
      <c r="J78"/>
      <c r="K78"/>
      <c r="L78"/>
      <c r="M78"/>
      <c r="N78"/>
      <c r="O78"/>
      <c r="P78"/>
      <c r="Q78"/>
      <c r="R78"/>
      <c r="S78"/>
      <c r="T78"/>
      <c r="U78"/>
      <c r="V78" s="53"/>
      <c r="W78" s="8"/>
      <c r="X78" s="7"/>
      <c r="Y78"/>
      <c r="Z78"/>
      <c r="AA78"/>
      <c r="AB78"/>
      <c r="AC78"/>
      <c r="AD78"/>
      <c r="AE78"/>
      <c r="AF78"/>
      <c r="AG78"/>
      <c r="AH78"/>
      <c r="AI78" s="53"/>
      <c r="AJ78" s="53"/>
      <c r="AK78" s="57">
        <f t="shared" si="6"/>
        <v>0</v>
      </c>
      <c r="AM78" s="7"/>
      <c r="AN78"/>
      <c r="AO78"/>
      <c r="AP78"/>
      <c r="AQ78"/>
      <c r="AR78"/>
      <c r="AS78"/>
      <c r="AT78"/>
      <c r="AU78"/>
      <c r="AV78"/>
      <c r="AW78"/>
      <c r="AX78" s="53"/>
      <c r="AY78" s="57">
        <f>SUM(AM78:AX78)</f>
        <v>0</v>
      </c>
      <c r="BA78" s="7"/>
      <c r="BB78"/>
      <c r="BC78"/>
      <c r="BD78"/>
      <c r="BE78"/>
      <c r="BF78"/>
      <c r="BG78"/>
      <c r="BH78"/>
      <c r="BI78"/>
      <c r="BJ78"/>
      <c r="BK78"/>
      <c r="BL78"/>
      <c r="BM78"/>
      <c r="BN78" s="118"/>
      <c r="BO78" s="57">
        <f>SUM(BA78:BN78)</f>
        <v>0</v>
      </c>
      <c r="BQ78" s="121"/>
      <c r="BR78"/>
      <c r="BS78"/>
      <c r="BT78"/>
      <c r="BU78"/>
      <c r="BV78" s="57">
        <f t="shared" si="9"/>
        <v>0</v>
      </c>
      <c r="BX78" s="57">
        <f t="shared" si="10"/>
        <v>0</v>
      </c>
      <c r="BY78" s="127">
        <f t="shared" si="11"/>
        <v>0</v>
      </c>
    </row>
    <row r="79" spans="1:77" x14ac:dyDescent="0.2">
      <c r="A79" s="26">
        <f t="shared" si="4"/>
        <v>0</v>
      </c>
      <c r="D79" s="98"/>
      <c r="E79" s="61"/>
      <c r="F79" s="61">
        <f t="shared" si="12"/>
        <v>0</v>
      </c>
      <c r="G79" s="57">
        <f t="shared" si="5"/>
        <v>0</v>
      </c>
      <c r="I79" s="7"/>
      <c r="J79"/>
      <c r="K79"/>
      <c r="L79"/>
      <c r="M79"/>
      <c r="N79"/>
      <c r="O79"/>
      <c r="P79"/>
      <c r="Q79"/>
      <c r="R79"/>
      <c r="S79"/>
      <c r="T79"/>
      <c r="U79"/>
      <c r="V79" s="53"/>
      <c r="W79" s="8"/>
      <c r="X79" s="7"/>
      <c r="Y79"/>
      <c r="Z79"/>
      <c r="AA79"/>
      <c r="AB79"/>
      <c r="AC79"/>
      <c r="AD79"/>
      <c r="AE79"/>
      <c r="AF79"/>
      <c r="AG79"/>
      <c r="AH79"/>
      <c r="AI79" s="53"/>
      <c r="AJ79" s="53"/>
      <c r="AK79" s="57">
        <f t="shared" si="6"/>
        <v>0</v>
      </c>
      <c r="AM79" s="7"/>
      <c r="AN79"/>
      <c r="AO79"/>
      <c r="AP79"/>
      <c r="AQ79"/>
      <c r="AR79"/>
      <c r="AS79"/>
      <c r="AT79"/>
      <c r="AU79"/>
      <c r="AV79"/>
      <c r="AW79"/>
      <c r="AX79" s="53"/>
      <c r="AY79" s="57">
        <f t="shared" si="7"/>
        <v>0</v>
      </c>
      <c r="BA79" s="7"/>
      <c r="BB79"/>
      <c r="BC79"/>
      <c r="BD79"/>
      <c r="BE79"/>
      <c r="BF79"/>
      <c r="BG79"/>
      <c r="BH79"/>
      <c r="BI79"/>
      <c r="BJ79"/>
      <c r="BK79"/>
      <c r="BL79"/>
      <c r="BM79"/>
      <c r="BN79" s="118"/>
      <c r="BO79" s="57">
        <f t="shared" si="8"/>
        <v>0</v>
      </c>
      <c r="BQ79" s="121"/>
      <c r="BR79"/>
      <c r="BS79"/>
      <c r="BT79"/>
      <c r="BU79"/>
      <c r="BV79" s="57">
        <f t="shared" si="9"/>
        <v>0</v>
      </c>
      <c r="BX79" s="57">
        <f t="shared" si="10"/>
        <v>0</v>
      </c>
      <c r="BY79" s="127">
        <f t="shared" si="11"/>
        <v>0</v>
      </c>
    </row>
    <row r="80" spans="1:77" x14ac:dyDescent="0.2">
      <c r="A80" s="26">
        <f t="shared" si="4"/>
        <v>0</v>
      </c>
      <c r="D80" s="98"/>
      <c r="E80" s="61"/>
      <c r="F80" s="61">
        <f t="shared" si="12"/>
        <v>0</v>
      </c>
      <c r="G80" s="57">
        <f t="shared" si="5"/>
        <v>0</v>
      </c>
      <c r="I80" s="7"/>
      <c r="J80"/>
      <c r="K80"/>
      <c r="L80"/>
      <c r="M80"/>
      <c r="N80"/>
      <c r="O80"/>
      <c r="P80"/>
      <c r="Q80"/>
      <c r="R80"/>
      <c r="S80"/>
      <c r="T80"/>
      <c r="U80"/>
      <c r="V80" s="53"/>
      <c r="W80" s="8"/>
      <c r="X80" s="7"/>
      <c r="Y80"/>
      <c r="Z80"/>
      <c r="AA80"/>
      <c r="AB80"/>
      <c r="AC80"/>
      <c r="AD80"/>
      <c r="AE80"/>
      <c r="AF80"/>
      <c r="AG80"/>
      <c r="AH80"/>
      <c r="AI80" s="53"/>
      <c r="AJ80" s="53"/>
      <c r="AK80" s="57">
        <f t="shared" si="6"/>
        <v>0</v>
      </c>
      <c r="AM80" s="7"/>
      <c r="AN80"/>
      <c r="AO80"/>
      <c r="AP80"/>
      <c r="AQ80"/>
      <c r="AR80"/>
      <c r="AS80"/>
      <c r="AT80"/>
      <c r="AU80"/>
      <c r="AV80"/>
      <c r="AW80"/>
      <c r="AX80" s="53"/>
      <c r="AY80" s="57">
        <f t="shared" si="7"/>
        <v>0</v>
      </c>
      <c r="BA80" s="7"/>
      <c r="BB80"/>
      <c r="BC80"/>
      <c r="BD80"/>
      <c r="BE80"/>
      <c r="BF80"/>
      <c r="BG80"/>
      <c r="BH80"/>
      <c r="BI80"/>
      <c r="BJ80"/>
      <c r="BK80"/>
      <c r="BL80"/>
      <c r="BM80"/>
      <c r="BN80" s="118"/>
      <c r="BO80" s="57">
        <f t="shared" si="8"/>
        <v>0</v>
      </c>
      <c r="BQ80" s="121"/>
      <c r="BR80"/>
      <c r="BS80"/>
      <c r="BT80"/>
      <c r="BU80"/>
      <c r="BV80" s="57">
        <f t="shared" si="9"/>
        <v>0</v>
      </c>
      <c r="BX80" s="57">
        <f t="shared" si="10"/>
        <v>0</v>
      </c>
      <c r="BY80" s="127">
        <f t="shared" si="11"/>
        <v>0</v>
      </c>
    </row>
    <row r="81" spans="1:77" x14ac:dyDescent="0.2">
      <c r="A81" s="26">
        <f t="shared" si="4"/>
        <v>0</v>
      </c>
      <c r="D81" s="98"/>
      <c r="E81" s="61"/>
      <c r="F81" s="61">
        <f t="shared" si="12"/>
        <v>0</v>
      </c>
      <c r="G81" s="57">
        <f t="shared" si="5"/>
        <v>0</v>
      </c>
      <c r="I81" s="7"/>
      <c r="J81"/>
      <c r="K81"/>
      <c r="L81"/>
      <c r="M81"/>
      <c r="N81"/>
      <c r="O81"/>
      <c r="P81"/>
      <c r="Q81"/>
      <c r="R81"/>
      <c r="S81"/>
      <c r="T81"/>
      <c r="U81"/>
      <c r="V81" s="53"/>
      <c r="W81" s="8"/>
      <c r="X81" s="7"/>
      <c r="Y81"/>
      <c r="Z81"/>
      <c r="AA81"/>
      <c r="AB81"/>
      <c r="AC81"/>
      <c r="AD81"/>
      <c r="AE81"/>
      <c r="AF81"/>
      <c r="AG81"/>
      <c r="AH81"/>
      <c r="AI81" s="53"/>
      <c r="AJ81" s="53"/>
      <c r="AK81" s="57">
        <f t="shared" si="6"/>
        <v>0</v>
      </c>
      <c r="AM81" s="7"/>
      <c r="AN81"/>
      <c r="AO81"/>
      <c r="AP81"/>
      <c r="AQ81"/>
      <c r="AR81"/>
      <c r="AS81"/>
      <c r="AT81"/>
      <c r="AU81"/>
      <c r="AV81"/>
      <c r="AW81"/>
      <c r="AX81" s="53"/>
      <c r="AY81" s="57">
        <f t="shared" si="7"/>
        <v>0</v>
      </c>
      <c r="BA81" s="7"/>
      <c r="BB81"/>
      <c r="BC81"/>
      <c r="BD81"/>
      <c r="BE81"/>
      <c r="BF81"/>
      <c r="BG81"/>
      <c r="BH81"/>
      <c r="BI81"/>
      <c r="BJ81"/>
      <c r="BK81"/>
      <c r="BL81"/>
      <c r="BM81"/>
      <c r="BN81" s="118"/>
      <c r="BO81" s="57">
        <f t="shared" si="8"/>
        <v>0</v>
      </c>
      <c r="BQ81" s="121"/>
      <c r="BR81"/>
      <c r="BS81"/>
      <c r="BT81"/>
      <c r="BU81"/>
      <c r="BV81" s="57">
        <f t="shared" si="9"/>
        <v>0</v>
      </c>
      <c r="BX81" s="57">
        <f t="shared" si="10"/>
        <v>0</v>
      </c>
      <c r="BY81" s="127">
        <f t="shared" si="11"/>
        <v>0</v>
      </c>
    </row>
    <row r="82" spans="1:77" x14ac:dyDescent="0.2">
      <c r="A82" s="26">
        <f t="shared" si="4"/>
        <v>0</v>
      </c>
      <c r="D82" s="98"/>
      <c r="E82" s="61"/>
      <c r="F82" s="61">
        <f t="shared" si="12"/>
        <v>0</v>
      </c>
      <c r="G82" s="57">
        <f t="shared" si="5"/>
        <v>0</v>
      </c>
      <c r="I82" s="7"/>
      <c r="J82"/>
      <c r="K82"/>
      <c r="L82"/>
      <c r="M82"/>
      <c r="N82"/>
      <c r="O82"/>
      <c r="P82"/>
      <c r="Q82"/>
      <c r="R82"/>
      <c r="S82"/>
      <c r="T82"/>
      <c r="U82"/>
      <c r="V82" s="53"/>
      <c r="W82" s="8"/>
      <c r="X82" s="7"/>
      <c r="Y82"/>
      <c r="Z82"/>
      <c r="AA82"/>
      <c r="AB82"/>
      <c r="AC82"/>
      <c r="AD82"/>
      <c r="AE82"/>
      <c r="AF82"/>
      <c r="AG82"/>
      <c r="AH82"/>
      <c r="AI82" s="53"/>
      <c r="AJ82" s="53"/>
      <c r="AK82" s="57">
        <f t="shared" si="6"/>
        <v>0</v>
      </c>
      <c r="AM82" s="7"/>
      <c r="AN82"/>
      <c r="AO82"/>
      <c r="AP82"/>
      <c r="AQ82"/>
      <c r="AR82"/>
      <c r="AS82"/>
      <c r="AT82"/>
      <c r="AU82"/>
      <c r="AV82"/>
      <c r="AW82"/>
      <c r="AX82" s="53"/>
      <c r="AY82" s="57">
        <f t="shared" si="7"/>
        <v>0</v>
      </c>
      <c r="BA82" s="7"/>
      <c r="BB82"/>
      <c r="BC82"/>
      <c r="BD82"/>
      <c r="BE82"/>
      <c r="BF82"/>
      <c r="BG82"/>
      <c r="BH82"/>
      <c r="BI82"/>
      <c r="BJ82"/>
      <c r="BK82"/>
      <c r="BL82"/>
      <c r="BM82"/>
      <c r="BN82" s="118"/>
      <c r="BO82" s="57">
        <f t="shared" si="8"/>
        <v>0</v>
      </c>
      <c r="BQ82" s="121"/>
      <c r="BR82"/>
      <c r="BS82"/>
      <c r="BT82"/>
      <c r="BU82"/>
      <c r="BV82" s="57">
        <f t="shared" si="9"/>
        <v>0</v>
      </c>
      <c r="BX82" s="57">
        <f t="shared" si="10"/>
        <v>0</v>
      </c>
      <c r="BY82" s="127">
        <f t="shared" si="11"/>
        <v>0</v>
      </c>
    </row>
    <row r="83" spans="1:77" x14ac:dyDescent="0.2">
      <c r="A83" s="26">
        <f t="shared" si="4"/>
        <v>0</v>
      </c>
      <c r="D83" s="98"/>
      <c r="E83" s="61"/>
      <c r="F83" s="61">
        <f t="shared" si="12"/>
        <v>0</v>
      </c>
      <c r="G83" s="57">
        <f t="shared" si="5"/>
        <v>0</v>
      </c>
      <c r="I83" s="7"/>
      <c r="J83"/>
      <c r="K83"/>
      <c r="L83"/>
      <c r="M83"/>
      <c r="N83"/>
      <c r="O83"/>
      <c r="P83"/>
      <c r="Q83"/>
      <c r="R83"/>
      <c r="S83"/>
      <c r="T83"/>
      <c r="U83"/>
      <c r="V83" s="53"/>
      <c r="W83" s="8"/>
      <c r="X83" s="7"/>
      <c r="Y83"/>
      <c r="Z83"/>
      <c r="AA83"/>
      <c r="AB83"/>
      <c r="AC83"/>
      <c r="AD83"/>
      <c r="AE83"/>
      <c r="AF83"/>
      <c r="AG83"/>
      <c r="AH83"/>
      <c r="AI83" s="53"/>
      <c r="AJ83" s="53"/>
      <c r="AK83" s="57">
        <f t="shared" si="6"/>
        <v>0</v>
      </c>
      <c r="AM83" s="7"/>
      <c r="AN83"/>
      <c r="AO83"/>
      <c r="AP83"/>
      <c r="AQ83"/>
      <c r="AR83"/>
      <c r="AS83"/>
      <c r="AT83"/>
      <c r="AU83"/>
      <c r="AV83"/>
      <c r="AW83"/>
      <c r="AX83" s="53"/>
      <c r="AY83" s="57">
        <f t="shared" si="7"/>
        <v>0</v>
      </c>
      <c r="BA83" s="7"/>
      <c r="BB83"/>
      <c r="BC83"/>
      <c r="BD83"/>
      <c r="BE83"/>
      <c r="BF83"/>
      <c r="BG83"/>
      <c r="BH83"/>
      <c r="BI83"/>
      <c r="BJ83"/>
      <c r="BK83"/>
      <c r="BL83"/>
      <c r="BM83"/>
      <c r="BN83" s="118"/>
      <c r="BO83" s="57">
        <f t="shared" si="8"/>
        <v>0</v>
      </c>
      <c r="BQ83" s="121"/>
      <c r="BR83"/>
      <c r="BS83"/>
      <c r="BT83"/>
      <c r="BU83"/>
      <c r="BV83" s="57">
        <f t="shared" si="9"/>
        <v>0</v>
      </c>
      <c r="BX83" s="57">
        <f t="shared" si="10"/>
        <v>0</v>
      </c>
      <c r="BY83" s="127">
        <f t="shared" si="11"/>
        <v>0</v>
      </c>
    </row>
    <row r="84" spans="1:77" x14ac:dyDescent="0.2">
      <c r="A84" s="26">
        <f t="shared" si="4"/>
        <v>0</v>
      </c>
      <c r="D84" s="98"/>
      <c r="E84" s="61"/>
      <c r="F84" s="61">
        <f t="shared" si="12"/>
        <v>0</v>
      </c>
      <c r="G84" s="57">
        <f t="shared" si="5"/>
        <v>0</v>
      </c>
      <c r="I84" s="7"/>
      <c r="J84"/>
      <c r="K84"/>
      <c r="L84"/>
      <c r="M84"/>
      <c r="N84"/>
      <c r="O84"/>
      <c r="P84"/>
      <c r="Q84"/>
      <c r="R84"/>
      <c r="S84"/>
      <c r="T84"/>
      <c r="U84"/>
      <c r="V84" s="53"/>
      <c r="W84" s="8"/>
      <c r="X84" s="7"/>
      <c r="Y84"/>
      <c r="Z84"/>
      <c r="AA84"/>
      <c r="AB84"/>
      <c r="AC84"/>
      <c r="AD84"/>
      <c r="AE84"/>
      <c r="AF84"/>
      <c r="AG84"/>
      <c r="AH84"/>
      <c r="AI84" s="53"/>
      <c r="AJ84" s="53"/>
      <c r="AK84" s="57">
        <f t="shared" si="6"/>
        <v>0</v>
      </c>
      <c r="AM84" s="7"/>
      <c r="AN84"/>
      <c r="AO84"/>
      <c r="AP84"/>
      <c r="AQ84"/>
      <c r="AR84"/>
      <c r="AS84"/>
      <c r="AT84"/>
      <c r="AU84"/>
      <c r="AV84"/>
      <c r="AW84"/>
      <c r="AX84" s="53"/>
      <c r="AY84" s="57">
        <f t="shared" si="7"/>
        <v>0</v>
      </c>
      <c r="BA84" s="7"/>
      <c r="BB84"/>
      <c r="BC84"/>
      <c r="BD84"/>
      <c r="BE84"/>
      <c r="BF84"/>
      <c r="BG84"/>
      <c r="BH84"/>
      <c r="BI84"/>
      <c r="BJ84"/>
      <c r="BK84"/>
      <c r="BL84"/>
      <c r="BM84"/>
      <c r="BN84" s="118"/>
      <c r="BO84" s="57">
        <f t="shared" si="8"/>
        <v>0</v>
      </c>
      <c r="BQ84" s="121"/>
      <c r="BR84"/>
      <c r="BS84"/>
      <c r="BT84"/>
      <c r="BU84"/>
      <c r="BV84" s="57">
        <f t="shared" si="9"/>
        <v>0</v>
      </c>
      <c r="BX84" s="57">
        <f t="shared" si="10"/>
        <v>0</v>
      </c>
      <c r="BY84" s="127">
        <f t="shared" si="11"/>
        <v>0</v>
      </c>
    </row>
    <row r="85" spans="1:77" x14ac:dyDescent="0.2">
      <c r="A85" s="26">
        <f t="shared" si="4"/>
        <v>0</v>
      </c>
      <c r="D85" s="98"/>
      <c r="E85" s="61"/>
      <c r="F85" s="61">
        <f t="shared" si="12"/>
        <v>0</v>
      </c>
      <c r="G85" s="57">
        <f t="shared" si="5"/>
        <v>0</v>
      </c>
      <c r="I85" s="7"/>
      <c r="J85"/>
      <c r="K85"/>
      <c r="L85"/>
      <c r="M85"/>
      <c r="N85"/>
      <c r="O85"/>
      <c r="P85"/>
      <c r="Q85"/>
      <c r="R85"/>
      <c r="S85"/>
      <c r="T85"/>
      <c r="U85"/>
      <c r="V85" s="53"/>
      <c r="W85" s="8"/>
      <c r="X85" s="7"/>
      <c r="Y85"/>
      <c r="Z85"/>
      <c r="AA85"/>
      <c r="AB85"/>
      <c r="AC85"/>
      <c r="AD85"/>
      <c r="AE85"/>
      <c r="AF85"/>
      <c r="AG85"/>
      <c r="AH85"/>
      <c r="AI85" s="53"/>
      <c r="AJ85" s="53"/>
      <c r="AK85" s="57">
        <f t="shared" si="6"/>
        <v>0</v>
      </c>
      <c r="AM85" s="7"/>
      <c r="AN85"/>
      <c r="AO85"/>
      <c r="AP85"/>
      <c r="AQ85"/>
      <c r="AR85"/>
      <c r="AS85"/>
      <c r="AT85"/>
      <c r="AU85"/>
      <c r="AV85"/>
      <c r="AW85"/>
      <c r="AX85" s="53"/>
      <c r="AY85" s="57">
        <f t="shared" si="7"/>
        <v>0</v>
      </c>
      <c r="BA85" s="7"/>
      <c r="BB85"/>
      <c r="BC85"/>
      <c r="BD85"/>
      <c r="BE85"/>
      <c r="BF85"/>
      <c r="BG85"/>
      <c r="BH85"/>
      <c r="BI85"/>
      <c r="BJ85"/>
      <c r="BK85"/>
      <c r="BL85"/>
      <c r="BM85"/>
      <c r="BN85" s="118"/>
      <c r="BO85" s="57">
        <f t="shared" si="8"/>
        <v>0</v>
      </c>
      <c r="BQ85" s="121"/>
      <c r="BR85"/>
      <c r="BS85"/>
      <c r="BT85"/>
      <c r="BU85"/>
      <c r="BV85" s="57">
        <f t="shared" si="9"/>
        <v>0</v>
      </c>
      <c r="BX85" s="57">
        <f t="shared" si="10"/>
        <v>0</v>
      </c>
      <c r="BY85" s="127">
        <f t="shared" si="11"/>
        <v>0</v>
      </c>
    </row>
    <row r="86" spans="1:77" x14ac:dyDescent="0.2">
      <c r="A86" s="26">
        <f t="shared" si="4"/>
        <v>0</v>
      </c>
      <c r="D86" s="98"/>
      <c r="E86" s="61"/>
      <c r="F86" s="61">
        <f t="shared" si="12"/>
        <v>0</v>
      </c>
      <c r="G86" s="57">
        <f t="shared" si="5"/>
        <v>0</v>
      </c>
      <c r="I86" s="7"/>
      <c r="J86"/>
      <c r="K86"/>
      <c r="L86"/>
      <c r="M86"/>
      <c r="N86"/>
      <c r="O86"/>
      <c r="P86"/>
      <c r="Q86"/>
      <c r="R86"/>
      <c r="S86"/>
      <c r="T86"/>
      <c r="U86"/>
      <c r="V86" s="53"/>
      <c r="W86" s="8"/>
      <c r="X86" s="7"/>
      <c r="Y86"/>
      <c r="Z86"/>
      <c r="AA86"/>
      <c r="AB86"/>
      <c r="AC86"/>
      <c r="AD86"/>
      <c r="AE86"/>
      <c r="AF86"/>
      <c r="AG86"/>
      <c r="AH86"/>
      <c r="AI86" s="53"/>
      <c r="AJ86" s="53"/>
      <c r="AK86" s="57">
        <f t="shared" si="6"/>
        <v>0</v>
      </c>
      <c r="AM86" s="7"/>
      <c r="AN86"/>
      <c r="AO86"/>
      <c r="AP86"/>
      <c r="AQ86"/>
      <c r="AR86"/>
      <c r="AS86"/>
      <c r="AT86"/>
      <c r="AU86"/>
      <c r="AV86"/>
      <c r="AW86"/>
      <c r="AX86" s="53"/>
      <c r="AY86" s="57">
        <f t="shared" si="7"/>
        <v>0</v>
      </c>
      <c r="BA86" s="7"/>
      <c r="BB86"/>
      <c r="BC86"/>
      <c r="BD86"/>
      <c r="BE86"/>
      <c r="BF86"/>
      <c r="BG86"/>
      <c r="BH86"/>
      <c r="BI86"/>
      <c r="BJ86"/>
      <c r="BK86"/>
      <c r="BL86"/>
      <c r="BM86"/>
      <c r="BN86" s="118"/>
      <c r="BO86" s="57">
        <f t="shared" si="8"/>
        <v>0</v>
      </c>
      <c r="BQ86" s="121"/>
      <c r="BR86"/>
      <c r="BS86"/>
      <c r="BT86"/>
      <c r="BU86"/>
      <c r="BV86" s="57">
        <f t="shared" si="9"/>
        <v>0</v>
      </c>
      <c r="BX86" s="57">
        <f t="shared" si="10"/>
        <v>0</v>
      </c>
      <c r="BY86" s="127">
        <f t="shared" si="11"/>
        <v>0</v>
      </c>
    </row>
    <row r="87" spans="1:77" x14ac:dyDescent="0.2">
      <c r="A87" s="26">
        <f t="shared" si="4"/>
        <v>0</v>
      </c>
      <c r="D87" s="98"/>
      <c r="E87" s="61"/>
      <c r="F87" s="61">
        <f t="shared" si="12"/>
        <v>0</v>
      </c>
      <c r="G87" s="57">
        <f t="shared" si="5"/>
        <v>0</v>
      </c>
      <c r="I87" s="7"/>
      <c r="J87"/>
      <c r="K87"/>
      <c r="L87"/>
      <c r="M87"/>
      <c r="N87"/>
      <c r="O87"/>
      <c r="P87"/>
      <c r="Q87"/>
      <c r="R87"/>
      <c r="S87"/>
      <c r="T87"/>
      <c r="U87"/>
      <c r="V87" s="53"/>
      <c r="W87" s="8"/>
      <c r="X87" s="7"/>
      <c r="Y87"/>
      <c r="Z87"/>
      <c r="AA87"/>
      <c r="AB87"/>
      <c r="AC87"/>
      <c r="AD87"/>
      <c r="AE87"/>
      <c r="AF87"/>
      <c r="AG87"/>
      <c r="AH87"/>
      <c r="AI87" s="53"/>
      <c r="AJ87" s="53"/>
      <c r="AK87" s="57">
        <f t="shared" si="6"/>
        <v>0</v>
      </c>
      <c r="AM87" s="7"/>
      <c r="AN87"/>
      <c r="AO87"/>
      <c r="AP87"/>
      <c r="AQ87"/>
      <c r="AR87"/>
      <c r="AS87"/>
      <c r="AT87"/>
      <c r="AU87"/>
      <c r="AV87"/>
      <c r="AW87"/>
      <c r="AX87" s="53"/>
      <c r="AY87" s="57">
        <f t="shared" si="7"/>
        <v>0</v>
      </c>
      <c r="BA87" s="7"/>
      <c r="BB87"/>
      <c r="BC87"/>
      <c r="BD87"/>
      <c r="BE87"/>
      <c r="BF87"/>
      <c r="BG87"/>
      <c r="BH87"/>
      <c r="BI87"/>
      <c r="BJ87"/>
      <c r="BK87"/>
      <c r="BL87"/>
      <c r="BM87"/>
      <c r="BN87" s="118"/>
      <c r="BO87" s="57">
        <f t="shared" si="8"/>
        <v>0</v>
      </c>
      <c r="BQ87" s="121"/>
      <c r="BR87"/>
      <c r="BS87"/>
      <c r="BT87"/>
      <c r="BU87"/>
      <c r="BV87" s="57">
        <f t="shared" si="9"/>
        <v>0</v>
      </c>
      <c r="BX87" s="57">
        <f t="shared" si="10"/>
        <v>0</v>
      </c>
      <c r="BY87" s="127">
        <f t="shared" si="11"/>
        <v>0</v>
      </c>
    </row>
    <row r="88" spans="1:77" x14ac:dyDescent="0.2">
      <c r="A88" s="26">
        <f t="shared" si="4"/>
        <v>0</v>
      </c>
      <c r="D88" s="98"/>
      <c r="E88" s="61"/>
      <c r="F88" s="61">
        <f t="shared" si="12"/>
        <v>0</v>
      </c>
      <c r="G88" s="57">
        <f t="shared" si="5"/>
        <v>0</v>
      </c>
      <c r="I88" s="7"/>
      <c r="J88"/>
      <c r="K88"/>
      <c r="L88"/>
      <c r="M88"/>
      <c r="N88"/>
      <c r="O88"/>
      <c r="P88"/>
      <c r="Q88"/>
      <c r="R88"/>
      <c r="S88"/>
      <c r="T88"/>
      <c r="U88"/>
      <c r="V88" s="53"/>
      <c r="W88" s="8"/>
      <c r="X88" s="7"/>
      <c r="Y88"/>
      <c r="Z88"/>
      <c r="AA88"/>
      <c r="AB88"/>
      <c r="AC88"/>
      <c r="AD88"/>
      <c r="AE88"/>
      <c r="AF88"/>
      <c r="AG88"/>
      <c r="AH88"/>
      <c r="AI88" s="53"/>
      <c r="AJ88" s="53"/>
      <c r="AK88" s="57">
        <f t="shared" si="6"/>
        <v>0</v>
      </c>
      <c r="AM88" s="7"/>
      <c r="AN88"/>
      <c r="AO88"/>
      <c r="AP88"/>
      <c r="AQ88"/>
      <c r="AR88"/>
      <c r="AS88"/>
      <c r="AT88"/>
      <c r="AU88"/>
      <c r="AV88"/>
      <c r="AW88"/>
      <c r="AX88" s="53"/>
      <c r="AY88" s="57">
        <f t="shared" si="7"/>
        <v>0</v>
      </c>
      <c r="BA88" s="7"/>
      <c r="BB88"/>
      <c r="BC88"/>
      <c r="BD88"/>
      <c r="BE88"/>
      <c r="BF88"/>
      <c r="BG88"/>
      <c r="BH88"/>
      <c r="BI88"/>
      <c r="BJ88"/>
      <c r="BK88"/>
      <c r="BL88"/>
      <c r="BM88"/>
      <c r="BN88" s="118"/>
      <c r="BO88" s="57">
        <f t="shared" si="8"/>
        <v>0</v>
      </c>
      <c r="BQ88" s="121"/>
      <c r="BR88"/>
      <c r="BS88"/>
      <c r="BT88"/>
      <c r="BU88"/>
      <c r="BV88" s="57">
        <f t="shared" si="9"/>
        <v>0</v>
      </c>
      <c r="BX88" s="57">
        <f t="shared" si="10"/>
        <v>0</v>
      </c>
      <c r="BY88" s="127">
        <f t="shared" si="11"/>
        <v>0</v>
      </c>
    </row>
    <row r="89" spans="1:77" x14ac:dyDescent="0.2">
      <c r="A89" s="26">
        <f t="shared" si="4"/>
        <v>0</v>
      </c>
      <c r="D89" s="98"/>
      <c r="E89" s="61"/>
      <c r="F89" s="61">
        <f t="shared" si="12"/>
        <v>0</v>
      </c>
      <c r="G89" s="57">
        <f t="shared" si="5"/>
        <v>0</v>
      </c>
      <c r="I89" s="7"/>
      <c r="J89"/>
      <c r="K89"/>
      <c r="L89"/>
      <c r="M89"/>
      <c r="N89"/>
      <c r="O89"/>
      <c r="P89"/>
      <c r="Q89"/>
      <c r="R89"/>
      <c r="S89"/>
      <c r="T89"/>
      <c r="U89"/>
      <c r="V89" s="53"/>
      <c r="W89" s="8"/>
      <c r="X89" s="7"/>
      <c r="Y89"/>
      <c r="Z89"/>
      <c r="AA89"/>
      <c r="AB89"/>
      <c r="AC89"/>
      <c r="AD89"/>
      <c r="AE89"/>
      <c r="AF89"/>
      <c r="AG89"/>
      <c r="AH89"/>
      <c r="AI89" s="53"/>
      <c r="AJ89" s="53"/>
      <c r="AK89" s="57">
        <f t="shared" si="6"/>
        <v>0</v>
      </c>
      <c r="AM89" s="7"/>
      <c r="AN89"/>
      <c r="AO89"/>
      <c r="AP89"/>
      <c r="AQ89"/>
      <c r="AR89"/>
      <c r="AS89"/>
      <c r="AT89"/>
      <c r="AU89"/>
      <c r="AV89"/>
      <c r="AW89"/>
      <c r="AX89" s="53"/>
      <c r="AY89" s="57">
        <f t="shared" si="7"/>
        <v>0</v>
      </c>
      <c r="BA89" s="7"/>
      <c r="BB89"/>
      <c r="BC89"/>
      <c r="BD89"/>
      <c r="BE89"/>
      <c r="BF89"/>
      <c r="BG89"/>
      <c r="BH89"/>
      <c r="BI89"/>
      <c r="BJ89"/>
      <c r="BK89"/>
      <c r="BL89"/>
      <c r="BM89"/>
      <c r="BN89" s="118"/>
      <c r="BO89" s="57">
        <f t="shared" si="8"/>
        <v>0</v>
      </c>
      <c r="BQ89" s="121"/>
      <c r="BR89"/>
      <c r="BS89"/>
      <c r="BT89"/>
      <c r="BU89"/>
      <c r="BV89" s="57">
        <f t="shared" si="9"/>
        <v>0</v>
      </c>
      <c r="BX89" s="57">
        <f t="shared" si="10"/>
        <v>0</v>
      </c>
      <c r="BY89" s="127">
        <f t="shared" si="11"/>
        <v>0</v>
      </c>
    </row>
    <row r="90" spans="1:77" x14ac:dyDescent="0.2">
      <c r="A90" s="26">
        <f t="shared" si="4"/>
        <v>0</v>
      </c>
      <c r="D90" s="98"/>
      <c r="E90" s="61"/>
      <c r="F90" s="61">
        <f t="shared" si="12"/>
        <v>0</v>
      </c>
      <c r="G90" s="57">
        <f t="shared" si="5"/>
        <v>0</v>
      </c>
      <c r="I90" s="7"/>
      <c r="J90"/>
      <c r="K90"/>
      <c r="L90"/>
      <c r="M90"/>
      <c r="N90"/>
      <c r="O90"/>
      <c r="P90"/>
      <c r="Q90"/>
      <c r="R90"/>
      <c r="S90"/>
      <c r="T90"/>
      <c r="U90"/>
      <c r="V90" s="53"/>
      <c r="W90" s="8"/>
      <c r="X90" s="7"/>
      <c r="Y90"/>
      <c r="Z90"/>
      <c r="AA90"/>
      <c r="AB90"/>
      <c r="AC90"/>
      <c r="AD90"/>
      <c r="AE90"/>
      <c r="AF90"/>
      <c r="AG90"/>
      <c r="AH90"/>
      <c r="AI90" s="53"/>
      <c r="AJ90" s="53"/>
      <c r="AK90" s="57">
        <f t="shared" si="6"/>
        <v>0</v>
      </c>
      <c r="AM90" s="7"/>
      <c r="AN90"/>
      <c r="AO90"/>
      <c r="AP90"/>
      <c r="AQ90"/>
      <c r="AR90"/>
      <c r="AS90"/>
      <c r="AT90"/>
      <c r="AU90"/>
      <c r="AV90"/>
      <c r="AW90"/>
      <c r="AX90" s="53"/>
      <c r="AY90" s="57">
        <f t="shared" si="7"/>
        <v>0</v>
      </c>
      <c r="BA90" s="7"/>
      <c r="BB90"/>
      <c r="BC90"/>
      <c r="BD90"/>
      <c r="BE90"/>
      <c r="BF90"/>
      <c r="BG90"/>
      <c r="BH90"/>
      <c r="BI90"/>
      <c r="BJ90"/>
      <c r="BK90"/>
      <c r="BL90"/>
      <c r="BM90"/>
      <c r="BN90" s="118"/>
      <c r="BO90" s="57">
        <f t="shared" si="8"/>
        <v>0</v>
      </c>
      <c r="BQ90" s="121"/>
      <c r="BR90"/>
      <c r="BS90"/>
      <c r="BT90"/>
      <c r="BU90"/>
      <c r="BV90" s="57">
        <f t="shared" si="9"/>
        <v>0</v>
      </c>
      <c r="BX90" s="57">
        <f t="shared" si="10"/>
        <v>0</v>
      </c>
      <c r="BY90" s="127">
        <f t="shared" si="11"/>
        <v>0</v>
      </c>
    </row>
    <row r="91" spans="1:77" x14ac:dyDescent="0.2">
      <c r="A91" s="26">
        <f t="shared" si="4"/>
        <v>0</v>
      </c>
      <c r="D91" s="98"/>
      <c r="E91" s="61"/>
      <c r="F91" s="61">
        <f t="shared" si="12"/>
        <v>0</v>
      </c>
      <c r="G91" s="57">
        <f t="shared" si="5"/>
        <v>0</v>
      </c>
      <c r="I91" s="7"/>
      <c r="J91"/>
      <c r="K91"/>
      <c r="L91"/>
      <c r="M91"/>
      <c r="N91"/>
      <c r="O91"/>
      <c r="P91"/>
      <c r="Q91"/>
      <c r="R91"/>
      <c r="S91"/>
      <c r="T91"/>
      <c r="U91"/>
      <c r="V91" s="53"/>
      <c r="W91" s="8"/>
      <c r="X91" s="7"/>
      <c r="Y91"/>
      <c r="Z91"/>
      <c r="AA91"/>
      <c r="AB91"/>
      <c r="AC91"/>
      <c r="AD91"/>
      <c r="AE91"/>
      <c r="AF91"/>
      <c r="AG91"/>
      <c r="AH91"/>
      <c r="AI91" s="53"/>
      <c r="AJ91" s="53"/>
      <c r="AK91" s="57">
        <f t="shared" si="6"/>
        <v>0</v>
      </c>
      <c r="AM91" s="7"/>
      <c r="AN91"/>
      <c r="AO91"/>
      <c r="AP91"/>
      <c r="AQ91"/>
      <c r="AR91"/>
      <c r="AS91"/>
      <c r="AT91"/>
      <c r="AU91"/>
      <c r="AV91"/>
      <c r="AW91"/>
      <c r="AX91" s="53"/>
      <c r="AY91" s="57">
        <f t="shared" si="7"/>
        <v>0</v>
      </c>
      <c r="BA91" s="7"/>
      <c r="BB91"/>
      <c r="BC91"/>
      <c r="BD91"/>
      <c r="BE91"/>
      <c r="BF91"/>
      <c r="BG91"/>
      <c r="BH91"/>
      <c r="BI91"/>
      <c r="BJ91"/>
      <c r="BK91"/>
      <c r="BL91"/>
      <c r="BM91"/>
      <c r="BN91" s="118"/>
      <c r="BO91" s="57">
        <f t="shared" si="8"/>
        <v>0</v>
      </c>
      <c r="BQ91" s="121"/>
      <c r="BR91"/>
      <c r="BS91"/>
      <c r="BT91"/>
      <c r="BU91"/>
      <c r="BV91" s="57">
        <f t="shared" si="9"/>
        <v>0</v>
      </c>
      <c r="BX91" s="57">
        <f t="shared" si="10"/>
        <v>0</v>
      </c>
      <c r="BY91" s="127">
        <f t="shared" si="11"/>
        <v>0</v>
      </c>
    </row>
    <row r="92" spans="1:77" x14ac:dyDescent="0.2">
      <c r="A92" s="26">
        <f t="shared" si="4"/>
        <v>0</v>
      </c>
      <c r="D92" s="98"/>
      <c r="E92" s="61"/>
      <c r="F92" s="61">
        <f t="shared" si="12"/>
        <v>0</v>
      </c>
      <c r="G92" s="57">
        <f t="shared" si="5"/>
        <v>0</v>
      </c>
      <c r="I92" s="7"/>
      <c r="J92"/>
      <c r="K92"/>
      <c r="L92"/>
      <c r="M92"/>
      <c r="N92"/>
      <c r="O92"/>
      <c r="P92"/>
      <c r="Q92"/>
      <c r="R92"/>
      <c r="S92"/>
      <c r="T92"/>
      <c r="U92"/>
      <c r="V92" s="53"/>
      <c r="W92" s="8"/>
      <c r="X92" s="7"/>
      <c r="Y92"/>
      <c r="Z92"/>
      <c r="AA92"/>
      <c r="AB92"/>
      <c r="AC92"/>
      <c r="AD92"/>
      <c r="AE92"/>
      <c r="AF92"/>
      <c r="AG92"/>
      <c r="AH92"/>
      <c r="AI92" s="53"/>
      <c r="AJ92" s="53"/>
      <c r="AK92" s="57">
        <f t="shared" si="6"/>
        <v>0</v>
      </c>
      <c r="AM92" s="7"/>
      <c r="AN92"/>
      <c r="AO92"/>
      <c r="AP92"/>
      <c r="AQ92"/>
      <c r="AR92"/>
      <c r="AS92"/>
      <c r="AT92"/>
      <c r="AU92"/>
      <c r="AV92"/>
      <c r="AW92"/>
      <c r="AX92" s="53"/>
      <c r="AY92" s="57">
        <f t="shared" si="7"/>
        <v>0</v>
      </c>
      <c r="BA92" s="7"/>
      <c r="BB92"/>
      <c r="BC92"/>
      <c r="BD92"/>
      <c r="BE92"/>
      <c r="BF92"/>
      <c r="BG92"/>
      <c r="BH92"/>
      <c r="BI92"/>
      <c r="BJ92"/>
      <c r="BK92"/>
      <c r="BL92"/>
      <c r="BM92"/>
      <c r="BN92" s="118"/>
      <c r="BO92" s="57">
        <f t="shared" si="8"/>
        <v>0</v>
      </c>
      <c r="BQ92" s="121"/>
      <c r="BR92"/>
      <c r="BS92"/>
      <c r="BT92"/>
      <c r="BU92"/>
      <c r="BV92" s="57">
        <f t="shared" si="9"/>
        <v>0</v>
      </c>
      <c r="BX92" s="57">
        <f t="shared" si="10"/>
        <v>0</v>
      </c>
      <c r="BY92" s="127">
        <f t="shared" si="11"/>
        <v>0</v>
      </c>
    </row>
    <row r="93" spans="1:77" x14ac:dyDescent="0.2">
      <c r="A93" s="26">
        <f t="shared" si="4"/>
        <v>0</v>
      </c>
      <c r="D93" s="98"/>
      <c r="E93" s="61"/>
      <c r="F93" s="61">
        <f t="shared" si="12"/>
        <v>0</v>
      </c>
      <c r="G93" s="57">
        <f t="shared" si="5"/>
        <v>0</v>
      </c>
      <c r="I93" s="7"/>
      <c r="J93"/>
      <c r="K93"/>
      <c r="L93"/>
      <c r="M93"/>
      <c r="N93"/>
      <c r="O93"/>
      <c r="P93"/>
      <c r="Q93"/>
      <c r="R93"/>
      <c r="S93"/>
      <c r="T93"/>
      <c r="U93"/>
      <c r="V93" s="53"/>
      <c r="W93" s="8"/>
      <c r="X93" s="7"/>
      <c r="Y93"/>
      <c r="Z93"/>
      <c r="AA93"/>
      <c r="AB93"/>
      <c r="AC93"/>
      <c r="AD93"/>
      <c r="AE93"/>
      <c r="AF93"/>
      <c r="AG93"/>
      <c r="AH93"/>
      <c r="AI93" s="53"/>
      <c r="AJ93" s="53"/>
      <c r="AK93" s="57">
        <f t="shared" si="6"/>
        <v>0</v>
      </c>
      <c r="AM93" s="7"/>
      <c r="AN93"/>
      <c r="AO93"/>
      <c r="AP93"/>
      <c r="AQ93"/>
      <c r="AR93"/>
      <c r="AS93"/>
      <c r="AT93"/>
      <c r="AU93"/>
      <c r="AV93"/>
      <c r="AW93"/>
      <c r="AX93" s="53"/>
      <c r="AY93" s="57">
        <f t="shared" si="7"/>
        <v>0</v>
      </c>
      <c r="BA93" s="7"/>
      <c r="BB93"/>
      <c r="BC93"/>
      <c r="BD93"/>
      <c r="BE93"/>
      <c r="BF93"/>
      <c r="BG93"/>
      <c r="BH93"/>
      <c r="BI93"/>
      <c r="BJ93"/>
      <c r="BK93"/>
      <c r="BL93"/>
      <c r="BM93"/>
      <c r="BN93" s="118"/>
      <c r="BO93" s="57">
        <f t="shared" si="8"/>
        <v>0</v>
      </c>
      <c r="BQ93" s="121"/>
      <c r="BR93"/>
      <c r="BS93"/>
      <c r="BT93"/>
      <c r="BU93"/>
      <c r="BV93" s="57">
        <f t="shared" si="9"/>
        <v>0</v>
      </c>
      <c r="BX93" s="57">
        <f t="shared" si="10"/>
        <v>0</v>
      </c>
      <c r="BY93" s="127">
        <f t="shared" si="11"/>
        <v>0</v>
      </c>
    </row>
    <row r="94" spans="1:77" x14ac:dyDescent="0.2">
      <c r="A94" s="26">
        <f t="shared" si="4"/>
        <v>0</v>
      </c>
      <c r="D94" s="98"/>
      <c r="E94" s="61"/>
      <c r="F94" s="61">
        <f t="shared" si="12"/>
        <v>0</v>
      </c>
      <c r="G94" s="57">
        <f t="shared" si="5"/>
        <v>0</v>
      </c>
      <c r="I94" s="7"/>
      <c r="J94"/>
      <c r="K94"/>
      <c r="L94"/>
      <c r="M94"/>
      <c r="N94"/>
      <c r="O94"/>
      <c r="P94"/>
      <c r="Q94"/>
      <c r="R94"/>
      <c r="S94"/>
      <c r="T94"/>
      <c r="U94"/>
      <c r="V94" s="53"/>
      <c r="W94" s="8"/>
      <c r="X94" s="7"/>
      <c r="Y94"/>
      <c r="Z94"/>
      <c r="AA94"/>
      <c r="AB94"/>
      <c r="AC94"/>
      <c r="AD94"/>
      <c r="AE94"/>
      <c r="AF94"/>
      <c r="AG94"/>
      <c r="AH94"/>
      <c r="AI94" s="53"/>
      <c r="AJ94" s="53"/>
      <c r="AK94" s="57">
        <f t="shared" si="6"/>
        <v>0</v>
      </c>
      <c r="AM94" s="7"/>
      <c r="AN94"/>
      <c r="AO94"/>
      <c r="AP94"/>
      <c r="AQ94"/>
      <c r="AR94"/>
      <c r="AS94"/>
      <c r="AT94"/>
      <c r="AU94"/>
      <c r="AV94"/>
      <c r="AW94"/>
      <c r="AX94" s="53"/>
      <c r="AY94" s="57">
        <f t="shared" si="7"/>
        <v>0</v>
      </c>
      <c r="BA94" s="7"/>
      <c r="BB94"/>
      <c r="BC94"/>
      <c r="BD94"/>
      <c r="BE94"/>
      <c r="BF94"/>
      <c r="BG94"/>
      <c r="BH94"/>
      <c r="BI94"/>
      <c r="BJ94"/>
      <c r="BK94"/>
      <c r="BL94"/>
      <c r="BM94"/>
      <c r="BN94" s="118"/>
      <c r="BO94" s="57">
        <f t="shared" si="8"/>
        <v>0</v>
      </c>
      <c r="BQ94" s="121"/>
      <c r="BR94"/>
      <c r="BS94"/>
      <c r="BT94"/>
      <c r="BU94"/>
      <c r="BV94" s="57">
        <f t="shared" si="9"/>
        <v>0</v>
      </c>
      <c r="BX94" s="57">
        <f t="shared" si="10"/>
        <v>0</v>
      </c>
      <c r="BY94" s="127">
        <f t="shared" si="11"/>
        <v>0</v>
      </c>
    </row>
    <row r="95" spans="1:77" x14ac:dyDescent="0.2">
      <c r="A95" s="26">
        <f t="shared" si="4"/>
        <v>0</v>
      </c>
      <c r="D95" s="98"/>
      <c r="E95" s="61"/>
      <c r="F95" s="61">
        <f t="shared" si="12"/>
        <v>0</v>
      </c>
      <c r="G95" s="57">
        <f t="shared" si="5"/>
        <v>0</v>
      </c>
      <c r="I95" s="7"/>
      <c r="J95"/>
      <c r="K95"/>
      <c r="L95"/>
      <c r="M95"/>
      <c r="N95"/>
      <c r="O95"/>
      <c r="P95"/>
      <c r="Q95"/>
      <c r="R95"/>
      <c r="S95"/>
      <c r="T95"/>
      <c r="U95"/>
      <c r="V95" s="53"/>
      <c r="W95" s="8"/>
      <c r="X95" s="7"/>
      <c r="Y95"/>
      <c r="Z95"/>
      <c r="AA95"/>
      <c r="AB95"/>
      <c r="AC95"/>
      <c r="AD95"/>
      <c r="AE95"/>
      <c r="AF95"/>
      <c r="AG95"/>
      <c r="AH95"/>
      <c r="AI95" s="53"/>
      <c r="AJ95" s="53"/>
      <c r="AK95" s="57">
        <f t="shared" si="6"/>
        <v>0</v>
      </c>
      <c r="AM95" s="7"/>
      <c r="AN95"/>
      <c r="AO95"/>
      <c r="AP95"/>
      <c r="AQ95"/>
      <c r="AR95"/>
      <c r="AS95"/>
      <c r="AT95"/>
      <c r="AU95"/>
      <c r="AV95"/>
      <c r="AW95"/>
      <c r="AX95" s="53"/>
      <c r="AY95" s="57">
        <f t="shared" si="7"/>
        <v>0</v>
      </c>
      <c r="BA95" s="7"/>
      <c r="BB95"/>
      <c r="BC95"/>
      <c r="BD95"/>
      <c r="BE95"/>
      <c r="BF95"/>
      <c r="BG95"/>
      <c r="BH95"/>
      <c r="BI95"/>
      <c r="BJ95"/>
      <c r="BK95"/>
      <c r="BL95"/>
      <c r="BM95"/>
      <c r="BN95" s="118"/>
      <c r="BO95" s="57">
        <f t="shared" si="8"/>
        <v>0</v>
      </c>
      <c r="BQ95" s="121"/>
      <c r="BR95"/>
      <c r="BS95"/>
      <c r="BT95"/>
      <c r="BU95"/>
      <c r="BV95" s="57">
        <f t="shared" si="9"/>
        <v>0</v>
      </c>
      <c r="BX95" s="57">
        <f t="shared" si="10"/>
        <v>0</v>
      </c>
      <c r="BY95" s="127">
        <f t="shared" si="11"/>
        <v>0</v>
      </c>
    </row>
    <row r="96" spans="1:77" x14ac:dyDescent="0.2">
      <c r="A96" s="26">
        <f t="shared" si="4"/>
        <v>0</v>
      </c>
      <c r="D96" s="98"/>
      <c r="E96" s="61"/>
      <c r="F96" s="61">
        <f t="shared" si="12"/>
        <v>0</v>
      </c>
      <c r="G96" s="57">
        <f t="shared" si="5"/>
        <v>0</v>
      </c>
      <c r="I96" s="7"/>
      <c r="J96"/>
      <c r="K96"/>
      <c r="L96"/>
      <c r="M96"/>
      <c r="N96"/>
      <c r="O96"/>
      <c r="P96"/>
      <c r="Q96"/>
      <c r="R96"/>
      <c r="S96"/>
      <c r="T96"/>
      <c r="U96"/>
      <c r="V96" s="53"/>
      <c r="W96" s="8"/>
      <c r="X96" s="7"/>
      <c r="Y96"/>
      <c r="Z96"/>
      <c r="AA96"/>
      <c r="AB96"/>
      <c r="AC96"/>
      <c r="AD96"/>
      <c r="AE96"/>
      <c r="AF96"/>
      <c r="AG96"/>
      <c r="AH96"/>
      <c r="AI96" s="53"/>
      <c r="AJ96" s="53"/>
      <c r="AK96" s="57">
        <f t="shared" si="6"/>
        <v>0</v>
      </c>
      <c r="AM96" s="7"/>
      <c r="AN96"/>
      <c r="AO96"/>
      <c r="AP96"/>
      <c r="AQ96"/>
      <c r="AR96"/>
      <c r="AS96"/>
      <c r="AT96"/>
      <c r="AU96"/>
      <c r="AV96"/>
      <c r="AW96"/>
      <c r="AX96" s="53"/>
      <c r="AY96" s="57">
        <f t="shared" si="7"/>
        <v>0</v>
      </c>
      <c r="BA96" s="7"/>
      <c r="BB96"/>
      <c r="BC96"/>
      <c r="BD96"/>
      <c r="BE96"/>
      <c r="BF96"/>
      <c r="BG96"/>
      <c r="BH96"/>
      <c r="BI96"/>
      <c r="BJ96"/>
      <c r="BK96"/>
      <c r="BL96"/>
      <c r="BM96"/>
      <c r="BN96" s="118"/>
      <c r="BO96" s="57">
        <f t="shared" si="8"/>
        <v>0</v>
      </c>
      <c r="BQ96" s="121"/>
      <c r="BR96"/>
      <c r="BS96"/>
      <c r="BT96"/>
      <c r="BU96"/>
      <c r="BV96" s="57">
        <f t="shared" si="9"/>
        <v>0</v>
      </c>
      <c r="BX96" s="57">
        <f t="shared" si="10"/>
        <v>0</v>
      </c>
      <c r="BY96" s="127">
        <f t="shared" si="11"/>
        <v>0</v>
      </c>
    </row>
    <row r="97" spans="1:77" x14ac:dyDescent="0.2">
      <c r="A97" s="26">
        <f t="shared" si="4"/>
        <v>0</v>
      </c>
      <c r="D97" s="98"/>
      <c r="E97" s="61"/>
      <c r="F97" s="61">
        <f t="shared" si="12"/>
        <v>0</v>
      </c>
      <c r="G97" s="57">
        <f t="shared" si="5"/>
        <v>0</v>
      </c>
      <c r="I97" s="7"/>
      <c r="J97"/>
      <c r="K97"/>
      <c r="L97"/>
      <c r="M97"/>
      <c r="N97"/>
      <c r="O97"/>
      <c r="P97"/>
      <c r="Q97"/>
      <c r="R97"/>
      <c r="S97"/>
      <c r="T97"/>
      <c r="U97"/>
      <c r="V97" s="53"/>
      <c r="W97" s="8"/>
      <c r="X97" s="7"/>
      <c r="Y97"/>
      <c r="Z97"/>
      <c r="AA97"/>
      <c r="AB97"/>
      <c r="AC97"/>
      <c r="AD97"/>
      <c r="AE97"/>
      <c r="AF97"/>
      <c r="AG97"/>
      <c r="AH97"/>
      <c r="AI97" s="53"/>
      <c r="AJ97" s="53"/>
      <c r="AK97" s="57">
        <f t="shared" si="6"/>
        <v>0</v>
      </c>
      <c r="AM97" s="7"/>
      <c r="AN97"/>
      <c r="AO97"/>
      <c r="AP97"/>
      <c r="AQ97"/>
      <c r="AR97"/>
      <c r="AS97"/>
      <c r="AT97"/>
      <c r="AU97"/>
      <c r="AV97"/>
      <c r="AW97"/>
      <c r="AX97" s="53"/>
      <c r="AY97" s="57">
        <f t="shared" si="7"/>
        <v>0</v>
      </c>
      <c r="BA97" s="7"/>
      <c r="BB97"/>
      <c r="BC97"/>
      <c r="BD97"/>
      <c r="BE97"/>
      <c r="BF97"/>
      <c r="BG97"/>
      <c r="BH97"/>
      <c r="BI97"/>
      <c r="BJ97"/>
      <c r="BK97"/>
      <c r="BL97"/>
      <c r="BM97"/>
      <c r="BN97" s="118"/>
      <c r="BO97" s="57">
        <f t="shared" si="8"/>
        <v>0</v>
      </c>
      <c r="BQ97" s="121"/>
      <c r="BR97"/>
      <c r="BS97"/>
      <c r="BT97"/>
      <c r="BU97"/>
      <c r="BV97" s="57">
        <f t="shared" si="9"/>
        <v>0</v>
      </c>
      <c r="BX97" s="57">
        <f t="shared" si="10"/>
        <v>0</v>
      </c>
      <c r="BY97" s="127">
        <f t="shared" si="11"/>
        <v>0</v>
      </c>
    </row>
    <row r="98" spans="1:77" x14ac:dyDescent="0.2">
      <c r="A98" s="26">
        <f t="shared" si="4"/>
        <v>0</v>
      </c>
      <c r="D98" s="98"/>
      <c r="E98" s="61"/>
      <c r="F98" s="61">
        <f t="shared" si="12"/>
        <v>0</v>
      </c>
      <c r="G98" s="57">
        <f t="shared" si="5"/>
        <v>0</v>
      </c>
      <c r="I98" s="7"/>
      <c r="J98"/>
      <c r="K98"/>
      <c r="L98"/>
      <c r="M98"/>
      <c r="N98"/>
      <c r="O98"/>
      <c r="P98"/>
      <c r="Q98"/>
      <c r="R98"/>
      <c r="S98"/>
      <c r="T98"/>
      <c r="U98"/>
      <c r="V98" s="53"/>
      <c r="W98" s="8"/>
      <c r="X98" s="7"/>
      <c r="Y98"/>
      <c r="Z98"/>
      <c r="AA98"/>
      <c r="AB98"/>
      <c r="AC98"/>
      <c r="AD98"/>
      <c r="AE98"/>
      <c r="AF98"/>
      <c r="AG98"/>
      <c r="AH98"/>
      <c r="AI98" s="53"/>
      <c r="AJ98" s="53"/>
      <c r="AK98" s="57">
        <f t="shared" si="6"/>
        <v>0</v>
      </c>
      <c r="AM98" s="7"/>
      <c r="AN98"/>
      <c r="AO98"/>
      <c r="AP98"/>
      <c r="AQ98"/>
      <c r="AR98"/>
      <c r="AS98"/>
      <c r="AT98"/>
      <c r="AU98"/>
      <c r="AV98"/>
      <c r="AW98"/>
      <c r="AX98" s="53"/>
      <c r="AY98" s="57">
        <f t="shared" si="7"/>
        <v>0</v>
      </c>
      <c r="BA98" s="7"/>
      <c r="BB98"/>
      <c r="BC98"/>
      <c r="BD98"/>
      <c r="BE98"/>
      <c r="BF98"/>
      <c r="BG98"/>
      <c r="BH98"/>
      <c r="BI98"/>
      <c r="BJ98"/>
      <c r="BK98"/>
      <c r="BL98"/>
      <c r="BM98"/>
      <c r="BN98" s="118"/>
      <c r="BO98" s="57">
        <f t="shared" si="8"/>
        <v>0</v>
      </c>
      <c r="BQ98" s="121"/>
      <c r="BR98"/>
      <c r="BS98"/>
      <c r="BT98"/>
      <c r="BU98"/>
      <c r="BV98" s="57">
        <f t="shared" si="9"/>
        <v>0</v>
      </c>
      <c r="BX98" s="57">
        <f t="shared" si="10"/>
        <v>0</v>
      </c>
      <c r="BY98" s="127">
        <f t="shared" si="11"/>
        <v>0</v>
      </c>
    </row>
    <row r="99" spans="1:77" x14ac:dyDescent="0.2">
      <c r="A99" s="26">
        <f t="shared" si="4"/>
        <v>0</v>
      </c>
      <c r="D99" s="98"/>
      <c r="E99" s="61"/>
      <c r="F99" s="61">
        <f t="shared" si="12"/>
        <v>0</v>
      </c>
      <c r="G99" s="57">
        <f t="shared" si="5"/>
        <v>0</v>
      </c>
      <c r="I99" s="7"/>
      <c r="J99"/>
      <c r="K99"/>
      <c r="L99"/>
      <c r="M99"/>
      <c r="N99"/>
      <c r="O99"/>
      <c r="P99"/>
      <c r="Q99"/>
      <c r="R99"/>
      <c r="S99"/>
      <c r="T99"/>
      <c r="U99"/>
      <c r="V99" s="53"/>
      <c r="W99" s="8"/>
      <c r="X99" s="7"/>
      <c r="Y99"/>
      <c r="Z99"/>
      <c r="AA99"/>
      <c r="AB99"/>
      <c r="AC99"/>
      <c r="AD99"/>
      <c r="AE99"/>
      <c r="AF99"/>
      <c r="AG99"/>
      <c r="AH99"/>
      <c r="AI99" s="53"/>
      <c r="AJ99" s="53"/>
      <c r="AK99" s="57">
        <f t="shared" si="6"/>
        <v>0</v>
      </c>
      <c r="AM99" s="7"/>
      <c r="AN99"/>
      <c r="AO99"/>
      <c r="AP99"/>
      <c r="AQ99"/>
      <c r="AR99"/>
      <c r="AS99"/>
      <c r="AT99"/>
      <c r="AU99"/>
      <c r="AV99"/>
      <c r="AW99"/>
      <c r="AX99" s="53"/>
      <c r="AY99" s="57">
        <f t="shared" si="7"/>
        <v>0</v>
      </c>
      <c r="BA99" s="7"/>
      <c r="BB99"/>
      <c r="BC99"/>
      <c r="BD99"/>
      <c r="BE99"/>
      <c r="BF99"/>
      <c r="BG99"/>
      <c r="BH99"/>
      <c r="BI99"/>
      <c r="BJ99"/>
      <c r="BK99"/>
      <c r="BL99"/>
      <c r="BM99"/>
      <c r="BN99" s="118"/>
      <c r="BO99" s="57">
        <f t="shared" si="8"/>
        <v>0</v>
      </c>
      <c r="BQ99" s="121"/>
      <c r="BR99"/>
      <c r="BS99"/>
      <c r="BT99"/>
      <c r="BU99"/>
      <c r="BV99" s="57">
        <f t="shared" si="9"/>
        <v>0</v>
      </c>
      <c r="BX99" s="57">
        <f t="shared" si="10"/>
        <v>0</v>
      </c>
      <c r="BY99" s="127">
        <f t="shared" si="11"/>
        <v>0</v>
      </c>
    </row>
    <row r="100" spans="1:77" x14ac:dyDescent="0.2">
      <c r="A100" s="26">
        <f t="shared" si="4"/>
        <v>0</v>
      </c>
      <c r="D100" s="98"/>
      <c r="E100" s="61"/>
      <c r="F100" s="61">
        <f t="shared" si="12"/>
        <v>0</v>
      </c>
      <c r="G100" s="57">
        <f t="shared" si="5"/>
        <v>0</v>
      </c>
      <c r="I100" s="7"/>
      <c r="J100"/>
      <c r="K100"/>
      <c r="L100"/>
      <c r="M100"/>
      <c r="N100"/>
      <c r="O100"/>
      <c r="P100"/>
      <c r="Q100"/>
      <c r="R100"/>
      <c r="S100"/>
      <c r="T100"/>
      <c r="U100"/>
      <c r="V100" s="53"/>
      <c r="W100" s="8"/>
      <c r="X100" s="7"/>
      <c r="Y100"/>
      <c r="Z100"/>
      <c r="AA100"/>
      <c r="AB100"/>
      <c r="AC100"/>
      <c r="AD100"/>
      <c r="AE100"/>
      <c r="AF100"/>
      <c r="AG100"/>
      <c r="AH100"/>
      <c r="AI100" s="53"/>
      <c r="AJ100" s="53"/>
      <c r="AK100" s="57">
        <f t="shared" si="6"/>
        <v>0</v>
      </c>
      <c r="AM100" s="7"/>
      <c r="AN100"/>
      <c r="AO100"/>
      <c r="AP100"/>
      <c r="AQ100"/>
      <c r="AR100"/>
      <c r="AS100"/>
      <c r="AT100"/>
      <c r="AU100"/>
      <c r="AV100"/>
      <c r="AW100"/>
      <c r="AX100" s="53"/>
      <c r="AY100" s="57">
        <f t="shared" si="7"/>
        <v>0</v>
      </c>
      <c r="BA100" s="7"/>
      <c r="BB100"/>
      <c r="BC100"/>
      <c r="BD100"/>
      <c r="BE100"/>
      <c r="BF100"/>
      <c r="BG100"/>
      <c r="BH100"/>
      <c r="BI100"/>
      <c r="BJ100"/>
      <c r="BK100"/>
      <c r="BL100"/>
      <c r="BM100"/>
      <c r="BN100" s="118"/>
      <c r="BO100" s="57">
        <f t="shared" si="8"/>
        <v>0</v>
      </c>
      <c r="BQ100" s="121"/>
      <c r="BR100"/>
      <c r="BS100"/>
      <c r="BT100"/>
      <c r="BU100"/>
      <c r="BV100" s="57">
        <f t="shared" si="9"/>
        <v>0</v>
      </c>
      <c r="BX100" s="57">
        <f t="shared" si="10"/>
        <v>0</v>
      </c>
      <c r="BY100" s="127">
        <f t="shared" si="11"/>
        <v>0</v>
      </c>
    </row>
    <row r="101" spans="1:77" x14ac:dyDescent="0.2">
      <c r="A101" s="26">
        <f t="shared" si="4"/>
        <v>0</v>
      </c>
      <c r="D101" s="98"/>
      <c r="E101" s="61"/>
      <c r="F101" s="61">
        <f t="shared" si="12"/>
        <v>0</v>
      </c>
      <c r="G101" s="57">
        <f t="shared" si="5"/>
        <v>0</v>
      </c>
      <c r="I101" s="7"/>
      <c r="J101"/>
      <c r="K101"/>
      <c r="L101"/>
      <c r="M101"/>
      <c r="N101"/>
      <c r="O101"/>
      <c r="P101"/>
      <c r="Q101"/>
      <c r="R101"/>
      <c r="S101"/>
      <c r="T101"/>
      <c r="U101"/>
      <c r="V101" s="53"/>
      <c r="W101" s="8"/>
      <c r="X101" s="7"/>
      <c r="Y101"/>
      <c r="Z101"/>
      <c r="AA101"/>
      <c r="AB101"/>
      <c r="AC101"/>
      <c r="AD101"/>
      <c r="AE101"/>
      <c r="AF101"/>
      <c r="AG101"/>
      <c r="AH101"/>
      <c r="AI101" s="53"/>
      <c r="AJ101" s="53"/>
      <c r="AK101" s="57">
        <f t="shared" si="6"/>
        <v>0</v>
      </c>
      <c r="AM101" s="7"/>
      <c r="AN101"/>
      <c r="AO101"/>
      <c r="AP101"/>
      <c r="AQ101"/>
      <c r="AR101"/>
      <c r="AS101"/>
      <c r="AT101"/>
      <c r="AU101"/>
      <c r="AV101"/>
      <c r="AW101"/>
      <c r="AX101" s="53"/>
      <c r="AY101" s="57">
        <f t="shared" si="7"/>
        <v>0</v>
      </c>
      <c r="BA101" s="7"/>
      <c r="BB101"/>
      <c r="BC101"/>
      <c r="BD101"/>
      <c r="BE101"/>
      <c r="BF101"/>
      <c r="BG101"/>
      <c r="BH101"/>
      <c r="BI101"/>
      <c r="BJ101"/>
      <c r="BK101"/>
      <c r="BL101"/>
      <c r="BM101"/>
      <c r="BN101" s="118"/>
      <c r="BO101" s="57">
        <f t="shared" si="8"/>
        <v>0</v>
      </c>
      <c r="BQ101" s="121"/>
      <c r="BR101"/>
      <c r="BS101"/>
      <c r="BT101"/>
      <c r="BU101"/>
      <c r="BV101" s="57">
        <f t="shared" si="9"/>
        <v>0</v>
      </c>
      <c r="BX101" s="57">
        <f t="shared" si="10"/>
        <v>0</v>
      </c>
      <c r="BY101" s="127">
        <f t="shared" si="11"/>
        <v>0</v>
      </c>
    </row>
    <row r="102" spans="1:77" x14ac:dyDescent="0.2">
      <c r="A102" s="26">
        <f t="shared" si="4"/>
        <v>0</v>
      </c>
      <c r="D102" s="98"/>
      <c r="E102" s="61"/>
      <c r="F102" s="61">
        <f t="shared" si="12"/>
        <v>0</v>
      </c>
      <c r="G102" s="57">
        <f t="shared" si="5"/>
        <v>0</v>
      </c>
      <c r="I102" s="7"/>
      <c r="J102"/>
      <c r="K102"/>
      <c r="L102"/>
      <c r="M102"/>
      <c r="N102"/>
      <c r="O102"/>
      <c r="P102"/>
      <c r="Q102"/>
      <c r="R102"/>
      <c r="S102"/>
      <c r="T102"/>
      <c r="U102"/>
      <c r="V102" s="53"/>
      <c r="W102" s="8"/>
      <c r="X102" s="7"/>
      <c r="Y102"/>
      <c r="Z102"/>
      <c r="AA102"/>
      <c r="AB102"/>
      <c r="AC102"/>
      <c r="AD102"/>
      <c r="AE102"/>
      <c r="AF102"/>
      <c r="AG102"/>
      <c r="AH102"/>
      <c r="AI102" s="53"/>
      <c r="AJ102" s="53"/>
      <c r="AK102" s="57">
        <f t="shared" si="6"/>
        <v>0</v>
      </c>
      <c r="AM102" s="7"/>
      <c r="AN102"/>
      <c r="AO102"/>
      <c r="AP102"/>
      <c r="AQ102"/>
      <c r="AR102"/>
      <c r="AS102"/>
      <c r="AT102"/>
      <c r="AU102"/>
      <c r="AV102"/>
      <c r="AW102"/>
      <c r="AX102" s="53"/>
      <c r="AY102" s="57">
        <f t="shared" si="7"/>
        <v>0</v>
      </c>
      <c r="BA102" s="7"/>
      <c r="BB102"/>
      <c r="BC102"/>
      <c r="BD102"/>
      <c r="BE102"/>
      <c r="BF102"/>
      <c r="BG102"/>
      <c r="BH102"/>
      <c r="BI102"/>
      <c r="BJ102"/>
      <c r="BK102"/>
      <c r="BL102"/>
      <c r="BM102"/>
      <c r="BN102" s="118"/>
      <c r="BO102" s="57">
        <f t="shared" si="8"/>
        <v>0</v>
      </c>
      <c r="BQ102" s="121"/>
      <c r="BR102"/>
      <c r="BS102"/>
      <c r="BT102"/>
      <c r="BU102"/>
      <c r="BV102" s="57">
        <f t="shared" si="9"/>
        <v>0</v>
      </c>
      <c r="BX102" s="57">
        <f t="shared" si="10"/>
        <v>0</v>
      </c>
      <c r="BY102" s="127">
        <f t="shared" si="11"/>
        <v>0</v>
      </c>
    </row>
    <row r="103" spans="1:77" x14ac:dyDescent="0.2">
      <c r="A103" s="26">
        <f t="shared" si="4"/>
        <v>0</v>
      </c>
      <c r="D103" s="98"/>
      <c r="E103" s="61"/>
      <c r="F103" s="61">
        <f t="shared" si="12"/>
        <v>0</v>
      </c>
      <c r="G103" s="57">
        <f t="shared" si="5"/>
        <v>0</v>
      </c>
      <c r="I103" s="7"/>
      <c r="J103"/>
      <c r="K103"/>
      <c r="L103"/>
      <c r="M103"/>
      <c r="N103"/>
      <c r="O103"/>
      <c r="P103"/>
      <c r="Q103"/>
      <c r="R103"/>
      <c r="S103"/>
      <c r="T103"/>
      <c r="U103"/>
      <c r="V103" s="53"/>
      <c r="W103" s="8"/>
      <c r="X103" s="7"/>
      <c r="Y103"/>
      <c r="Z103"/>
      <c r="AA103"/>
      <c r="AB103"/>
      <c r="AC103"/>
      <c r="AD103"/>
      <c r="AE103"/>
      <c r="AF103"/>
      <c r="AG103"/>
      <c r="AH103"/>
      <c r="AI103" s="53"/>
      <c r="AJ103" s="53"/>
      <c r="AK103" s="57">
        <f t="shared" si="6"/>
        <v>0</v>
      </c>
      <c r="AM103" s="7"/>
      <c r="AN103"/>
      <c r="AO103"/>
      <c r="AP103"/>
      <c r="AQ103"/>
      <c r="AR103"/>
      <c r="AS103"/>
      <c r="AT103"/>
      <c r="AU103"/>
      <c r="AV103"/>
      <c r="AW103"/>
      <c r="AX103" s="53"/>
      <c r="AY103" s="57">
        <f t="shared" si="7"/>
        <v>0</v>
      </c>
      <c r="BA103" s="7"/>
      <c r="BB103"/>
      <c r="BC103"/>
      <c r="BD103"/>
      <c r="BE103"/>
      <c r="BF103"/>
      <c r="BG103"/>
      <c r="BH103"/>
      <c r="BI103"/>
      <c r="BJ103"/>
      <c r="BK103"/>
      <c r="BL103"/>
      <c r="BM103"/>
      <c r="BN103" s="118"/>
      <c r="BO103" s="57">
        <f t="shared" si="8"/>
        <v>0</v>
      </c>
      <c r="BQ103" s="121"/>
      <c r="BR103"/>
      <c r="BS103"/>
      <c r="BT103"/>
      <c r="BU103"/>
      <c r="BV103" s="57">
        <f t="shared" si="9"/>
        <v>0</v>
      </c>
      <c r="BX103" s="57">
        <f t="shared" si="10"/>
        <v>0</v>
      </c>
      <c r="BY103" s="127">
        <f t="shared" si="11"/>
        <v>0</v>
      </c>
    </row>
    <row r="104" spans="1:77" x14ac:dyDescent="0.2">
      <c r="A104" s="26">
        <f t="shared" si="4"/>
        <v>0</v>
      </c>
      <c r="D104" s="98"/>
      <c r="E104" s="61"/>
      <c r="F104" s="61">
        <f t="shared" si="12"/>
        <v>0</v>
      </c>
      <c r="G104" s="57">
        <f t="shared" si="5"/>
        <v>0</v>
      </c>
      <c r="I104" s="7"/>
      <c r="J104"/>
      <c r="K104"/>
      <c r="L104"/>
      <c r="M104"/>
      <c r="N104"/>
      <c r="O104"/>
      <c r="P104"/>
      <c r="Q104"/>
      <c r="R104"/>
      <c r="S104"/>
      <c r="T104"/>
      <c r="U104"/>
      <c r="V104" s="53"/>
      <c r="W104" s="8"/>
      <c r="X104" s="7"/>
      <c r="Y104"/>
      <c r="Z104"/>
      <c r="AA104"/>
      <c r="AB104"/>
      <c r="AC104"/>
      <c r="AD104"/>
      <c r="AE104"/>
      <c r="AF104"/>
      <c r="AG104"/>
      <c r="AH104"/>
      <c r="AI104" s="53"/>
      <c r="AJ104" s="53"/>
      <c r="AK104" s="57">
        <f t="shared" si="6"/>
        <v>0</v>
      </c>
      <c r="AM104" s="7"/>
      <c r="AN104"/>
      <c r="AO104"/>
      <c r="AP104"/>
      <c r="AQ104"/>
      <c r="AR104"/>
      <c r="AS104"/>
      <c r="AT104"/>
      <c r="AU104"/>
      <c r="AV104"/>
      <c r="AW104"/>
      <c r="AX104" s="53"/>
      <c r="AY104" s="57">
        <f t="shared" si="7"/>
        <v>0</v>
      </c>
      <c r="BA104" s="7"/>
      <c r="BB104"/>
      <c r="BC104"/>
      <c r="BD104"/>
      <c r="BE104"/>
      <c r="BF104"/>
      <c r="BG104"/>
      <c r="BH104"/>
      <c r="BI104"/>
      <c r="BJ104"/>
      <c r="BK104"/>
      <c r="BL104"/>
      <c r="BM104"/>
      <c r="BN104" s="118"/>
      <c r="BO104" s="57">
        <f t="shared" si="8"/>
        <v>0</v>
      </c>
      <c r="BQ104" s="121"/>
      <c r="BR104"/>
      <c r="BS104"/>
      <c r="BT104"/>
      <c r="BU104"/>
      <c r="BV104" s="57">
        <f t="shared" si="9"/>
        <v>0</v>
      </c>
      <c r="BX104" s="57">
        <f t="shared" si="10"/>
        <v>0</v>
      </c>
      <c r="BY104" s="127">
        <f t="shared" si="11"/>
        <v>0</v>
      </c>
    </row>
    <row r="105" spans="1:77" x14ac:dyDescent="0.2">
      <c r="A105" s="26">
        <f t="shared" si="4"/>
        <v>0</v>
      </c>
      <c r="D105" s="98"/>
      <c r="E105" s="61"/>
      <c r="F105" s="61">
        <f t="shared" si="12"/>
        <v>0</v>
      </c>
      <c r="G105" s="57">
        <f t="shared" si="5"/>
        <v>0</v>
      </c>
      <c r="I105" s="7"/>
      <c r="J105"/>
      <c r="K105"/>
      <c r="L105"/>
      <c r="M105"/>
      <c r="N105"/>
      <c r="O105"/>
      <c r="P105"/>
      <c r="Q105"/>
      <c r="R105"/>
      <c r="S105"/>
      <c r="T105"/>
      <c r="U105"/>
      <c r="V105" s="53"/>
      <c r="W105" s="8"/>
      <c r="X105" s="7"/>
      <c r="Y105"/>
      <c r="Z105"/>
      <c r="AA105"/>
      <c r="AB105"/>
      <c r="AC105"/>
      <c r="AD105"/>
      <c r="AE105"/>
      <c r="AF105"/>
      <c r="AG105"/>
      <c r="AH105"/>
      <c r="AI105" s="53"/>
      <c r="AJ105" s="53"/>
      <c r="AK105" s="57">
        <f t="shared" si="6"/>
        <v>0</v>
      </c>
      <c r="AM105" s="7"/>
      <c r="AN105"/>
      <c r="AO105"/>
      <c r="AP105"/>
      <c r="AQ105"/>
      <c r="AR105"/>
      <c r="AS105"/>
      <c r="AT105"/>
      <c r="AU105"/>
      <c r="AV105"/>
      <c r="AW105"/>
      <c r="AX105" s="53"/>
      <c r="AY105" s="57">
        <f t="shared" si="7"/>
        <v>0</v>
      </c>
      <c r="BA105" s="7"/>
      <c r="BB105"/>
      <c r="BC105"/>
      <c r="BD105"/>
      <c r="BE105"/>
      <c r="BF105"/>
      <c r="BG105"/>
      <c r="BH105"/>
      <c r="BI105"/>
      <c r="BJ105"/>
      <c r="BK105"/>
      <c r="BL105"/>
      <c r="BM105"/>
      <c r="BN105" s="118"/>
      <c r="BO105" s="57">
        <f t="shared" si="8"/>
        <v>0</v>
      </c>
      <c r="BQ105" s="121"/>
      <c r="BR105"/>
      <c r="BS105"/>
      <c r="BT105"/>
      <c r="BU105"/>
      <c r="BV105" s="57">
        <f t="shared" si="9"/>
        <v>0</v>
      </c>
      <c r="BX105" s="57">
        <f t="shared" si="10"/>
        <v>0</v>
      </c>
      <c r="BY105" s="127">
        <f t="shared" si="11"/>
        <v>0</v>
      </c>
    </row>
    <row r="106" spans="1:77" x14ac:dyDescent="0.2">
      <c r="A106" s="26">
        <f t="shared" si="4"/>
        <v>0</v>
      </c>
      <c r="D106" s="98"/>
      <c r="E106" s="61"/>
      <c r="F106" s="61">
        <f t="shared" si="12"/>
        <v>0</v>
      </c>
      <c r="G106" s="57">
        <f t="shared" si="5"/>
        <v>0</v>
      </c>
      <c r="I106" s="7"/>
      <c r="J106"/>
      <c r="K106"/>
      <c r="L106"/>
      <c r="M106"/>
      <c r="N106"/>
      <c r="O106"/>
      <c r="P106"/>
      <c r="Q106"/>
      <c r="R106"/>
      <c r="S106"/>
      <c r="T106"/>
      <c r="U106"/>
      <c r="V106" s="53"/>
      <c r="W106" s="8"/>
      <c r="X106" s="7"/>
      <c r="Y106"/>
      <c r="Z106"/>
      <c r="AA106"/>
      <c r="AB106"/>
      <c r="AC106"/>
      <c r="AD106"/>
      <c r="AE106"/>
      <c r="AF106"/>
      <c r="AG106"/>
      <c r="AH106"/>
      <c r="AI106" s="53"/>
      <c r="AJ106" s="53"/>
      <c r="AK106" s="57">
        <f t="shared" si="6"/>
        <v>0</v>
      </c>
      <c r="AM106" s="7"/>
      <c r="AN106"/>
      <c r="AO106"/>
      <c r="AP106"/>
      <c r="AQ106"/>
      <c r="AR106"/>
      <c r="AS106"/>
      <c r="AT106"/>
      <c r="AU106"/>
      <c r="AV106"/>
      <c r="AW106"/>
      <c r="AX106" s="53"/>
      <c r="AY106" s="57">
        <f t="shared" si="7"/>
        <v>0</v>
      </c>
      <c r="BA106" s="7"/>
      <c r="BB106"/>
      <c r="BC106"/>
      <c r="BD106"/>
      <c r="BE106"/>
      <c r="BF106"/>
      <c r="BG106"/>
      <c r="BH106"/>
      <c r="BI106"/>
      <c r="BJ106"/>
      <c r="BK106"/>
      <c r="BL106"/>
      <c r="BM106"/>
      <c r="BN106" s="118"/>
      <c r="BO106" s="57">
        <f t="shared" si="8"/>
        <v>0</v>
      </c>
      <c r="BQ106" s="121"/>
      <c r="BR106"/>
      <c r="BS106"/>
      <c r="BT106"/>
      <c r="BU106"/>
      <c r="BV106" s="57">
        <f t="shared" si="9"/>
        <v>0</v>
      </c>
      <c r="BX106" s="57">
        <f t="shared" si="10"/>
        <v>0</v>
      </c>
      <c r="BY106" s="127">
        <f t="shared" si="11"/>
        <v>0</v>
      </c>
    </row>
    <row r="107" spans="1:77" x14ac:dyDescent="0.2">
      <c r="A107" s="26">
        <f t="shared" si="4"/>
        <v>0</v>
      </c>
      <c r="D107" s="98"/>
      <c r="E107" s="61"/>
      <c r="F107" s="61">
        <f t="shared" si="12"/>
        <v>0</v>
      </c>
      <c r="G107" s="57">
        <f t="shared" si="5"/>
        <v>0</v>
      </c>
      <c r="I107" s="7"/>
      <c r="J107"/>
      <c r="K107"/>
      <c r="L107"/>
      <c r="M107"/>
      <c r="N107"/>
      <c r="O107"/>
      <c r="P107"/>
      <c r="Q107"/>
      <c r="R107"/>
      <c r="S107"/>
      <c r="T107"/>
      <c r="U107"/>
      <c r="V107" s="53"/>
      <c r="W107" s="8"/>
      <c r="X107" s="7"/>
      <c r="Y107"/>
      <c r="Z107"/>
      <c r="AA107"/>
      <c r="AB107"/>
      <c r="AC107"/>
      <c r="AD107"/>
      <c r="AE107"/>
      <c r="AF107"/>
      <c r="AG107"/>
      <c r="AH107"/>
      <c r="AI107" s="53"/>
      <c r="AJ107" s="53"/>
      <c r="AK107" s="57">
        <f t="shared" si="6"/>
        <v>0</v>
      </c>
      <c r="AM107" s="7"/>
      <c r="AN107"/>
      <c r="AO107"/>
      <c r="AP107"/>
      <c r="AQ107"/>
      <c r="AR107"/>
      <c r="AS107"/>
      <c r="AT107"/>
      <c r="AU107"/>
      <c r="AV107"/>
      <c r="AW107"/>
      <c r="AX107" s="53"/>
      <c r="AY107" s="57">
        <f t="shared" si="7"/>
        <v>0</v>
      </c>
      <c r="BA107" s="7"/>
      <c r="BB107"/>
      <c r="BC107"/>
      <c r="BD107"/>
      <c r="BE107"/>
      <c r="BF107"/>
      <c r="BG107"/>
      <c r="BH107"/>
      <c r="BI107"/>
      <c r="BJ107"/>
      <c r="BK107"/>
      <c r="BL107"/>
      <c r="BM107"/>
      <c r="BN107" s="118"/>
      <c r="BO107" s="57">
        <f t="shared" si="8"/>
        <v>0</v>
      </c>
      <c r="BQ107" s="121"/>
      <c r="BR107"/>
      <c r="BS107"/>
      <c r="BT107"/>
      <c r="BU107"/>
      <c r="BV107" s="57">
        <f t="shared" si="9"/>
        <v>0</v>
      </c>
      <c r="BX107" s="57">
        <f t="shared" si="10"/>
        <v>0</v>
      </c>
      <c r="BY107" s="127">
        <f t="shared" si="11"/>
        <v>0</v>
      </c>
    </row>
    <row r="108" spans="1:77" x14ac:dyDescent="0.2">
      <c r="A108" s="26">
        <f t="shared" si="4"/>
        <v>0</v>
      </c>
      <c r="D108" s="98"/>
      <c r="E108" s="61"/>
      <c r="F108" s="61">
        <f t="shared" si="12"/>
        <v>0</v>
      </c>
      <c r="G108" s="57">
        <f t="shared" si="5"/>
        <v>0</v>
      </c>
      <c r="I108" s="7"/>
      <c r="J108"/>
      <c r="K108"/>
      <c r="L108"/>
      <c r="M108"/>
      <c r="N108"/>
      <c r="O108"/>
      <c r="P108"/>
      <c r="Q108"/>
      <c r="R108"/>
      <c r="S108"/>
      <c r="T108"/>
      <c r="U108"/>
      <c r="V108" s="53"/>
      <c r="W108" s="8"/>
      <c r="X108" s="7"/>
      <c r="Y108"/>
      <c r="Z108"/>
      <c r="AA108"/>
      <c r="AB108"/>
      <c r="AC108"/>
      <c r="AD108"/>
      <c r="AE108"/>
      <c r="AF108"/>
      <c r="AG108"/>
      <c r="AH108"/>
      <c r="AI108" s="53"/>
      <c r="AJ108" s="53"/>
      <c r="AK108" s="57">
        <f t="shared" si="6"/>
        <v>0</v>
      </c>
      <c r="AM108" s="7"/>
      <c r="AN108"/>
      <c r="AO108"/>
      <c r="AP108"/>
      <c r="AQ108"/>
      <c r="AR108"/>
      <c r="AS108"/>
      <c r="AT108"/>
      <c r="AU108"/>
      <c r="AV108"/>
      <c r="AW108"/>
      <c r="AX108" s="53"/>
      <c r="AY108" s="57">
        <f t="shared" si="7"/>
        <v>0</v>
      </c>
      <c r="BA108" s="7"/>
      <c r="BB108"/>
      <c r="BC108"/>
      <c r="BD108"/>
      <c r="BE108"/>
      <c r="BF108"/>
      <c r="BG108"/>
      <c r="BH108"/>
      <c r="BI108"/>
      <c r="BJ108"/>
      <c r="BK108"/>
      <c r="BL108"/>
      <c r="BM108"/>
      <c r="BN108" s="118"/>
      <c r="BO108" s="57">
        <f t="shared" si="8"/>
        <v>0</v>
      </c>
      <c r="BQ108" s="121"/>
      <c r="BR108"/>
      <c r="BS108"/>
      <c r="BT108"/>
      <c r="BU108"/>
      <c r="BV108" s="57">
        <f t="shared" si="9"/>
        <v>0</v>
      </c>
      <c r="BX108" s="57">
        <f t="shared" si="10"/>
        <v>0</v>
      </c>
      <c r="BY108" s="127">
        <f t="shared" si="11"/>
        <v>0</v>
      </c>
    </row>
    <row r="109" spans="1:77" x14ac:dyDescent="0.2">
      <c r="A109" s="26">
        <f t="shared" si="4"/>
        <v>0</v>
      </c>
      <c r="D109" s="98"/>
      <c r="E109" s="61"/>
      <c r="F109" s="61">
        <f t="shared" si="12"/>
        <v>0</v>
      </c>
      <c r="G109" s="57">
        <f t="shared" si="5"/>
        <v>0</v>
      </c>
      <c r="I109" s="7"/>
      <c r="J109"/>
      <c r="K109"/>
      <c r="L109"/>
      <c r="M109"/>
      <c r="N109"/>
      <c r="O109"/>
      <c r="P109"/>
      <c r="Q109"/>
      <c r="R109"/>
      <c r="S109"/>
      <c r="T109"/>
      <c r="U109"/>
      <c r="V109" s="53"/>
      <c r="W109" s="8"/>
      <c r="X109" s="7"/>
      <c r="Y109"/>
      <c r="Z109"/>
      <c r="AA109"/>
      <c r="AB109"/>
      <c r="AC109"/>
      <c r="AD109"/>
      <c r="AE109"/>
      <c r="AF109"/>
      <c r="AG109"/>
      <c r="AH109"/>
      <c r="AI109" s="53"/>
      <c r="AJ109" s="53"/>
      <c r="AK109" s="57">
        <f t="shared" si="6"/>
        <v>0</v>
      </c>
      <c r="AM109" s="7"/>
      <c r="AN109"/>
      <c r="AO109"/>
      <c r="AP109"/>
      <c r="AQ109"/>
      <c r="AR109"/>
      <c r="AS109"/>
      <c r="AT109"/>
      <c r="AU109"/>
      <c r="AV109"/>
      <c r="AW109"/>
      <c r="AX109" s="53"/>
      <c r="AY109" s="57">
        <f t="shared" si="7"/>
        <v>0</v>
      </c>
      <c r="BA109" s="7"/>
      <c r="BB109"/>
      <c r="BC109"/>
      <c r="BD109"/>
      <c r="BE109"/>
      <c r="BF109"/>
      <c r="BG109"/>
      <c r="BH109"/>
      <c r="BI109"/>
      <c r="BJ109"/>
      <c r="BK109"/>
      <c r="BL109"/>
      <c r="BM109"/>
      <c r="BN109" s="118"/>
      <c r="BO109" s="57">
        <f t="shared" si="8"/>
        <v>0</v>
      </c>
      <c r="BQ109" s="121"/>
      <c r="BR109"/>
      <c r="BS109"/>
      <c r="BT109"/>
      <c r="BU109"/>
      <c r="BV109" s="57">
        <f t="shared" si="9"/>
        <v>0</v>
      </c>
      <c r="BX109" s="57">
        <f t="shared" si="10"/>
        <v>0</v>
      </c>
      <c r="BY109" s="127">
        <f t="shared" si="11"/>
        <v>0</v>
      </c>
    </row>
    <row r="110" spans="1:77" x14ac:dyDescent="0.2">
      <c r="A110" s="26">
        <f t="shared" si="4"/>
        <v>0</v>
      </c>
      <c r="D110" s="98"/>
      <c r="E110" s="61"/>
      <c r="F110" s="61">
        <f t="shared" si="12"/>
        <v>0</v>
      </c>
      <c r="G110" s="57">
        <f t="shared" si="5"/>
        <v>0</v>
      </c>
      <c r="I110" s="7"/>
      <c r="J110"/>
      <c r="K110"/>
      <c r="L110"/>
      <c r="M110"/>
      <c r="N110"/>
      <c r="O110"/>
      <c r="P110"/>
      <c r="Q110"/>
      <c r="R110"/>
      <c r="S110"/>
      <c r="T110"/>
      <c r="U110"/>
      <c r="V110" s="53"/>
      <c r="W110" s="8"/>
      <c r="X110" s="7"/>
      <c r="Y110"/>
      <c r="Z110"/>
      <c r="AA110"/>
      <c r="AB110"/>
      <c r="AC110"/>
      <c r="AD110"/>
      <c r="AE110"/>
      <c r="AF110"/>
      <c r="AG110"/>
      <c r="AH110"/>
      <c r="AI110" s="53"/>
      <c r="AJ110" s="53"/>
      <c r="AK110" s="57">
        <f t="shared" si="6"/>
        <v>0</v>
      </c>
      <c r="AM110" s="7"/>
      <c r="AN110"/>
      <c r="AO110"/>
      <c r="AP110"/>
      <c r="AQ110"/>
      <c r="AR110"/>
      <c r="AS110"/>
      <c r="AT110"/>
      <c r="AU110"/>
      <c r="AV110"/>
      <c r="AW110"/>
      <c r="AX110" s="53"/>
      <c r="AY110" s="57">
        <f t="shared" si="7"/>
        <v>0</v>
      </c>
      <c r="BA110" s="7"/>
      <c r="BB110"/>
      <c r="BC110"/>
      <c r="BD110"/>
      <c r="BE110"/>
      <c r="BF110"/>
      <c r="BG110"/>
      <c r="BH110"/>
      <c r="BI110"/>
      <c r="BJ110"/>
      <c r="BK110"/>
      <c r="BL110"/>
      <c r="BM110"/>
      <c r="BN110" s="118"/>
      <c r="BO110" s="57">
        <f t="shared" si="8"/>
        <v>0</v>
      </c>
      <c r="BQ110" s="121"/>
      <c r="BR110"/>
      <c r="BS110"/>
      <c r="BT110"/>
      <c r="BU110"/>
      <c r="BV110" s="57">
        <f t="shared" si="9"/>
        <v>0</v>
      </c>
      <c r="BX110" s="57">
        <f t="shared" si="10"/>
        <v>0</v>
      </c>
      <c r="BY110" s="127">
        <f t="shared" si="11"/>
        <v>0</v>
      </c>
    </row>
    <row r="111" spans="1:77" x14ac:dyDescent="0.2">
      <c r="A111" s="26">
        <f t="shared" si="4"/>
        <v>0</v>
      </c>
      <c r="D111" s="98"/>
      <c r="E111" s="61"/>
      <c r="F111" s="61">
        <f t="shared" si="12"/>
        <v>0</v>
      </c>
      <c r="G111" s="57">
        <f t="shared" si="5"/>
        <v>0</v>
      </c>
      <c r="I111" s="7"/>
      <c r="J111"/>
      <c r="K111"/>
      <c r="L111"/>
      <c r="M111"/>
      <c r="N111"/>
      <c r="O111"/>
      <c r="P111"/>
      <c r="Q111"/>
      <c r="R111"/>
      <c r="S111"/>
      <c r="T111"/>
      <c r="U111"/>
      <c r="V111" s="53"/>
      <c r="W111" s="8"/>
      <c r="X111" s="7"/>
      <c r="Y111"/>
      <c r="Z111"/>
      <c r="AA111"/>
      <c r="AB111"/>
      <c r="AC111"/>
      <c r="AD111"/>
      <c r="AE111"/>
      <c r="AF111"/>
      <c r="AG111"/>
      <c r="AH111"/>
      <c r="AI111" s="53"/>
      <c r="AJ111" s="53"/>
      <c r="AK111" s="57">
        <f t="shared" si="6"/>
        <v>0</v>
      </c>
      <c r="AM111" s="7"/>
      <c r="AN111"/>
      <c r="AO111"/>
      <c r="AP111"/>
      <c r="AQ111"/>
      <c r="AR111"/>
      <c r="AS111"/>
      <c r="AT111"/>
      <c r="AU111"/>
      <c r="AV111"/>
      <c r="AW111"/>
      <c r="AX111" s="53"/>
      <c r="AY111" s="57">
        <f t="shared" si="7"/>
        <v>0</v>
      </c>
      <c r="BA111" s="7"/>
      <c r="BB111"/>
      <c r="BC111"/>
      <c r="BD111"/>
      <c r="BE111"/>
      <c r="BF111"/>
      <c r="BG111"/>
      <c r="BH111"/>
      <c r="BI111"/>
      <c r="BJ111"/>
      <c r="BK111"/>
      <c r="BL111"/>
      <c r="BM111"/>
      <c r="BN111" s="118"/>
      <c r="BO111" s="57">
        <f t="shared" si="8"/>
        <v>0</v>
      </c>
      <c r="BQ111" s="121"/>
      <c r="BR111"/>
      <c r="BS111"/>
      <c r="BT111"/>
      <c r="BU111"/>
      <c r="BV111" s="57">
        <f t="shared" si="9"/>
        <v>0</v>
      </c>
      <c r="BX111" s="57">
        <f t="shared" si="10"/>
        <v>0</v>
      </c>
      <c r="BY111" s="127">
        <f t="shared" si="11"/>
        <v>0</v>
      </c>
    </row>
    <row r="112" spans="1:77" x14ac:dyDescent="0.2">
      <c r="A112" s="26">
        <f t="shared" si="4"/>
        <v>0</v>
      </c>
      <c r="D112" s="98"/>
      <c r="E112" s="61"/>
      <c r="F112" s="61">
        <f t="shared" si="12"/>
        <v>0</v>
      </c>
      <c r="G112" s="57">
        <f t="shared" si="5"/>
        <v>0</v>
      </c>
      <c r="I112" s="7"/>
      <c r="J112"/>
      <c r="K112"/>
      <c r="L112"/>
      <c r="M112"/>
      <c r="N112"/>
      <c r="O112"/>
      <c r="P112"/>
      <c r="Q112"/>
      <c r="R112"/>
      <c r="S112"/>
      <c r="T112"/>
      <c r="U112"/>
      <c r="V112" s="53"/>
      <c r="W112" s="8"/>
      <c r="X112" s="7"/>
      <c r="Y112"/>
      <c r="Z112"/>
      <c r="AA112"/>
      <c r="AB112"/>
      <c r="AC112"/>
      <c r="AD112"/>
      <c r="AE112"/>
      <c r="AF112"/>
      <c r="AG112"/>
      <c r="AH112"/>
      <c r="AI112" s="53"/>
      <c r="AJ112" s="53"/>
      <c r="AK112" s="57">
        <f t="shared" si="6"/>
        <v>0</v>
      </c>
      <c r="AM112" s="7"/>
      <c r="AN112"/>
      <c r="AO112"/>
      <c r="AP112"/>
      <c r="AQ112"/>
      <c r="AR112"/>
      <c r="AS112"/>
      <c r="AT112"/>
      <c r="AU112"/>
      <c r="AV112"/>
      <c r="AW112"/>
      <c r="AX112" s="53"/>
      <c r="AY112" s="57">
        <f t="shared" si="7"/>
        <v>0</v>
      </c>
      <c r="BA112" s="7"/>
      <c r="BB112"/>
      <c r="BC112"/>
      <c r="BD112"/>
      <c r="BE112"/>
      <c r="BF112"/>
      <c r="BG112"/>
      <c r="BH112"/>
      <c r="BI112"/>
      <c r="BJ112"/>
      <c r="BK112"/>
      <c r="BL112"/>
      <c r="BM112"/>
      <c r="BN112" s="118"/>
      <c r="BO112" s="57">
        <f t="shared" si="8"/>
        <v>0</v>
      </c>
      <c r="BQ112" s="121"/>
      <c r="BR112"/>
      <c r="BS112"/>
      <c r="BT112"/>
      <c r="BU112"/>
      <c r="BV112" s="57">
        <f t="shared" si="9"/>
        <v>0</v>
      </c>
      <c r="BX112" s="57">
        <f t="shared" si="10"/>
        <v>0</v>
      </c>
      <c r="BY112" s="127">
        <f t="shared" si="11"/>
        <v>0</v>
      </c>
    </row>
    <row r="113" spans="1:77" x14ac:dyDescent="0.2">
      <c r="A113" s="26">
        <f t="shared" si="4"/>
        <v>0</v>
      </c>
      <c r="D113" s="98"/>
      <c r="E113" s="61"/>
      <c r="F113" s="61">
        <f t="shared" si="12"/>
        <v>0</v>
      </c>
      <c r="G113" s="57">
        <f t="shared" si="5"/>
        <v>0</v>
      </c>
      <c r="I113" s="7"/>
      <c r="J113"/>
      <c r="K113"/>
      <c r="L113"/>
      <c r="M113"/>
      <c r="N113"/>
      <c r="O113"/>
      <c r="P113"/>
      <c r="Q113"/>
      <c r="R113"/>
      <c r="S113"/>
      <c r="T113"/>
      <c r="U113"/>
      <c r="V113" s="53"/>
      <c r="W113" s="8"/>
      <c r="X113" s="7"/>
      <c r="Y113"/>
      <c r="Z113"/>
      <c r="AA113"/>
      <c r="AB113"/>
      <c r="AC113"/>
      <c r="AD113"/>
      <c r="AE113"/>
      <c r="AF113"/>
      <c r="AG113"/>
      <c r="AH113"/>
      <c r="AI113" s="53"/>
      <c r="AJ113" s="53"/>
      <c r="AK113" s="57">
        <f t="shared" si="6"/>
        <v>0</v>
      </c>
      <c r="AM113" s="7"/>
      <c r="AN113"/>
      <c r="AO113"/>
      <c r="AP113"/>
      <c r="AQ113"/>
      <c r="AR113"/>
      <c r="AS113"/>
      <c r="AT113"/>
      <c r="AU113"/>
      <c r="AV113"/>
      <c r="AW113"/>
      <c r="AX113" s="53"/>
      <c r="AY113" s="57">
        <f t="shared" si="7"/>
        <v>0</v>
      </c>
      <c r="BA113" s="7"/>
      <c r="BB113"/>
      <c r="BC113"/>
      <c r="BD113"/>
      <c r="BE113"/>
      <c r="BF113"/>
      <c r="BG113"/>
      <c r="BH113"/>
      <c r="BI113"/>
      <c r="BJ113"/>
      <c r="BK113"/>
      <c r="BL113"/>
      <c r="BM113"/>
      <c r="BN113" s="118"/>
      <c r="BO113" s="57">
        <f t="shared" si="8"/>
        <v>0</v>
      </c>
      <c r="BQ113" s="121"/>
      <c r="BR113"/>
      <c r="BS113"/>
      <c r="BT113"/>
      <c r="BU113"/>
      <c r="BV113" s="57">
        <f t="shared" si="9"/>
        <v>0</v>
      </c>
      <c r="BX113" s="57">
        <f t="shared" si="10"/>
        <v>0</v>
      </c>
      <c r="BY113" s="127">
        <f t="shared" si="11"/>
        <v>0</v>
      </c>
    </row>
    <row r="114" spans="1:77" x14ac:dyDescent="0.2">
      <c r="A114" s="26">
        <f t="shared" si="4"/>
        <v>0</v>
      </c>
      <c r="D114" s="98"/>
      <c r="E114" s="61"/>
      <c r="F114" s="61">
        <f t="shared" si="12"/>
        <v>0</v>
      </c>
      <c r="G114" s="57">
        <f t="shared" si="5"/>
        <v>0</v>
      </c>
      <c r="I114" s="7"/>
      <c r="J114"/>
      <c r="K114"/>
      <c r="L114"/>
      <c r="M114"/>
      <c r="N114"/>
      <c r="O114"/>
      <c r="P114"/>
      <c r="Q114"/>
      <c r="R114"/>
      <c r="S114"/>
      <c r="T114"/>
      <c r="U114"/>
      <c r="V114" s="53"/>
      <c r="W114" s="8"/>
      <c r="X114" s="7"/>
      <c r="Y114"/>
      <c r="Z114"/>
      <c r="AA114"/>
      <c r="AB114"/>
      <c r="AC114"/>
      <c r="AD114"/>
      <c r="AE114"/>
      <c r="AF114"/>
      <c r="AG114"/>
      <c r="AH114"/>
      <c r="AI114" s="53"/>
      <c r="AJ114" s="53"/>
      <c r="AK114" s="57">
        <f t="shared" si="6"/>
        <v>0</v>
      </c>
      <c r="AM114" s="7"/>
      <c r="AN114"/>
      <c r="AO114"/>
      <c r="AP114"/>
      <c r="AQ114"/>
      <c r="AR114"/>
      <c r="AS114"/>
      <c r="AT114"/>
      <c r="AU114"/>
      <c r="AV114"/>
      <c r="AW114"/>
      <c r="AX114" s="53"/>
      <c r="AY114" s="57">
        <f t="shared" si="7"/>
        <v>0</v>
      </c>
      <c r="BA114" s="7"/>
      <c r="BB114"/>
      <c r="BC114"/>
      <c r="BD114"/>
      <c r="BE114"/>
      <c r="BF114"/>
      <c r="BG114"/>
      <c r="BH114"/>
      <c r="BI114"/>
      <c r="BJ114"/>
      <c r="BK114"/>
      <c r="BL114"/>
      <c r="BM114"/>
      <c r="BN114" s="118"/>
      <c r="BO114" s="57">
        <f t="shared" si="8"/>
        <v>0</v>
      </c>
      <c r="BQ114" s="121"/>
      <c r="BR114"/>
      <c r="BS114"/>
      <c r="BT114"/>
      <c r="BU114"/>
      <c r="BV114" s="57">
        <f t="shared" si="9"/>
        <v>0</v>
      </c>
      <c r="BX114" s="57">
        <f t="shared" si="10"/>
        <v>0</v>
      </c>
      <c r="BY114" s="127">
        <f t="shared" si="11"/>
        <v>0</v>
      </c>
    </row>
    <row r="115" spans="1:77" x14ac:dyDescent="0.2">
      <c r="A115" s="26">
        <f t="shared" si="4"/>
        <v>0</v>
      </c>
      <c r="D115" s="98"/>
      <c r="E115" s="61"/>
      <c r="F115" s="61">
        <f t="shared" si="12"/>
        <v>0</v>
      </c>
      <c r="G115" s="57">
        <f t="shared" si="5"/>
        <v>0</v>
      </c>
      <c r="I115" s="7"/>
      <c r="J115"/>
      <c r="K115"/>
      <c r="L115"/>
      <c r="M115"/>
      <c r="N115"/>
      <c r="O115"/>
      <c r="P115"/>
      <c r="Q115"/>
      <c r="R115"/>
      <c r="S115"/>
      <c r="T115"/>
      <c r="U115"/>
      <c r="V115" s="53"/>
      <c r="W115" s="8"/>
      <c r="X115" s="7"/>
      <c r="Y115"/>
      <c r="Z115"/>
      <c r="AA115"/>
      <c r="AB115"/>
      <c r="AC115"/>
      <c r="AD115"/>
      <c r="AE115"/>
      <c r="AF115"/>
      <c r="AG115"/>
      <c r="AH115"/>
      <c r="AI115" s="53"/>
      <c r="AJ115" s="53"/>
      <c r="AK115" s="57">
        <f t="shared" si="6"/>
        <v>0</v>
      </c>
      <c r="AM115" s="7"/>
      <c r="AN115"/>
      <c r="AO115"/>
      <c r="AP115"/>
      <c r="AQ115"/>
      <c r="AR115"/>
      <c r="AS115"/>
      <c r="AT115"/>
      <c r="AU115"/>
      <c r="AV115"/>
      <c r="AW115"/>
      <c r="AX115" s="53"/>
      <c r="AY115" s="57">
        <f t="shared" si="7"/>
        <v>0</v>
      </c>
      <c r="BA115" s="7"/>
      <c r="BB115"/>
      <c r="BC115"/>
      <c r="BD115"/>
      <c r="BE115"/>
      <c r="BF115"/>
      <c r="BG115"/>
      <c r="BH115"/>
      <c r="BI115"/>
      <c r="BJ115"/>
      <c r="BK115"/>
      <c r="BL115"/>
      <c r="BM115"/>
      <c r="BN115" s="118"/>
      <c r="BO115" s="57">
        <f t="shared" si="8"/>
        <v>0</v>
      </c>
      <c r="BQ115" s="121"/>
      <c r="BR115"/>
      <c r="BS115"/>
      <c r="BT115"/>
      <c r="BU115"/>
      <c r="BV115" s="57">
        <f t="shared" si="9"/>
        <v>0</v>
      </c>
      <c r="BX115" s="57">
        <f t="shared" si="10"/>
        <v>0</v>
      </c>
      <c r="BY115" s="127">
        <f t="shared" si="11"/>
        <v>0</v>
      </c>
    </row>
    <row r="116" spans="1:77" x14ac:dyDescent="0.2">
      <c r="A116" s="26">
        <f t="shared" si="4"/>
        <v>0</v>
      </c>
      <c r="D116" s="98"/>
      <c r="E116" s="61"/>
      <c r="F116" s="61">
        <f t="shared" si="12"/>
        <v>0</v>
      </c>
      <c r="G116" s="57">
        <f t="shared" si="5"/>
        <v>0</v>
      </c>
      <c r="I116" s="7"/>
      <c r="J116"/>
      <c r="K116"/>
      <c r="L116"/>
      <c r="M116"/>
      <c r="N116"/>
      <c r="O116"/>
      <c r="P116"/>
      <c r="Q116"/>
      <c r="R116"/>
      <c r="S116"/>
      <c r="T116"/>
      <c r="U116"/>
      <c r="V116" s="53"/>
      <c r="W116" s="8"/>
      <c r="X116" s="7"/>
      <c r="Y116"/>
      <c r="Z116"/>
      <c r="AA116"/>
      <c r="AB116"/>
      <c r="AC116"/>
      <c r="AD116"/>
      <c r="AE116"/>
      <c r="AF116"/>
      <c r="AG116"/>
      <c r="AH116"/>
      <c r="AI116" s="53"/>
      <c r="AJ116" s="53"/>
      <c r="AK116" s="57">
        <f t="shared" si="6"/>
        <v>0</v>
      </c>
      <c r="AM116" s="7"/>
      <c r="AN116"/>
      <c r="AO116"/>
      <c r="AP116"/>
      <c r="AQ116"/>
      <c r="AR116"/>
      <c r="AS116"/>
      <c r="AT116"/>
      <c r="AU116"/>
      <c r="AV116"/>
      <c r="AW116"/>
      <c r="AX116" s="53"/>
      <c r="AY116" s="57">
        <f t="shared" si="7"/>
        <v>0</v>
      </c>
      <c r="BA116" s="7"/>
      <c r="BB116"/>
      <c r="BC116"/>
      <c r="BD116"/>
      <c r="BE116"/>
      <c r="BF116"/>
      <c r="BG116"/>
      <c r="BH116"/>
      <c r="BI116"/>
      <c r="BJ116"/>
      <c r="BK116"/>
      <c r="BL116"/>
      <c r="BM116"/>
      <c r="BN116" s="118"/>
      <c r="BO116" s="57">
        <f t="shared" si="8"/>
        <v>0</v>
      </c>
      <c r="BQ116" s="121"/>
      <c r="BR116"/>
      <c r="BS116"/>
      <c r="BT116"/>
      <c r="BU116"/>
      <c r="BV116" s="57">
        <f t="shared" si="9"/>
        <v>0</v>
      </c>
      <c r="BX116" s="57">
        <f t="shared" si="10"/>
        <v>0</v>
      </c>
      <c r="BY116" s="127">
        <f t="shared" si="11"/>
        <v>0</v>
      </c>
    </row>
    <row r="117" spans="1:77" x14ac:dyDescent="0.2">
      <c r="A117" s="26">
        <f t="shared" si="4"/>
        <v>0</v>
      </c>
      <c r="D117" s="98"/>
      <c r="E117" s="61"/>
      <c r="F117" s="61">
        <f t="shared" si="12"/>
        <v>0</v>
      </c>
      <c r="G117" s="57">
        <f t="shared" si="5"/>
        <v>0</v>
      </c>
      <c r="I117" s="7"/>
      <c r="J117"/>
      <c r="K117"/>
      <c r="L117"/>
      <c r="M117"/>
      <c r="N117"/>
      <c r="O117"/>
      <c r="P117"/>
      <c r="Q117"/>
      <c r="R117"/>
      <c r="S117"/>
      <c r="T117"/>
      <c r="U117"/>
      <c r="V117" s="53"/>
      <c r="W117" s="8"/>
      <c r="X117" s="7"/>
      <c r="Y117"/>
      <c r="Z117"/>
      <c r="AA117"/>
      <c r="AB117"/>
      <c r="AC117"/>
      <c r="AD117"/>
      <c r="AE117"/>
      <c r="AF117"/>
      <c r="AG117"/>
      <c r="AH117"/>
      <c r="AI117" s="53"/>
      <c r="AJ117" s="53"/>
      <c r="AK117" s="57">
        <f t="shared" si="6"/>
        <v>0</v>
      </c>
      <c r="AM117" s="7"/>
      <c r="AN117"/>
      <c r="AO117"/>
      <c r="AP117"/>
      <c r="AQ117"/>
      <c r="AR117"/>
      <c r="AS117"/>
      <c r="AT117"/>
      <c r="AU117"/>
      <c r="AV117"/>
      <c r="AW117"/>
      <c r="AX117" s="53"/>
      <c r="AY117" s="57">
        <f t="shared" si="7"/>
        <v>0</v>
      </c>
      <c r="BA117" s="7"/>
      <c r="BB117"/>
      <c r="BC117"/>
      <c r="BD117"/>
      <c r="BE117"/>
      <c r="BF117"/>
      <c r="BG117"/>
      <c r="BH117"/>
      <c r="BI117"/>
      <c r="BJ117"/>
      <c r="BK117"/>
      <c r="BL117"/>
      <c r="BM117"/>
      <c r="BN117" s="118"/>
      <c r="BO117" s="57">
        <f t="shared" si="8"/>
        <v>0</v>
      </c>
      <c r="BQ117" s="121"/>
      <c r="BR117"/>
      <c r="BS117"/>
      <c r="BT117"/>
      <c r="BU117"/>
      <c r="BV117" s="57">
        <f t="shared" si="9"/>
        <v>0</v>
      </c>
      <c r="BX117" s="57">
        <f t="shared" si="10"/>
        <v>0</v>
      </c>
      <c r="BY117" s="127">
        <f t="shared" si="11"/>
        <v>0</v>
      </c>
    </row>
    <row r="118" spans="1:77" x14ac:dyDescent="0.2">
      <c r="A118" s="26">
        <f t="shared" si="4"/>
        <v>0</v>
      </c>
      <c r="D118" s="98"/>
      <c r="E118" s="61"/>
      <c r="F118" s="61">
        <f t="shared" si="12"/>
        <v>0</v>
      </c>
      <c r="G118" s="57">
        <f t="shared" si="5"/>
        <v>0</v>
      </c>
      <c r="I118" s="7"/>
      <c r="J118"/>
      <c r="K118"/>
      <c r="L118"/>
      <c r="M118"/>
      <c r="N118"/>
      <c r="O118"/>
      <c r="P118"/>
      <c r="Q118"/>
      <c r="R118"/>
      <c r="S118"/>
      <c r="T118"/>
      <c r="U118"/>
      <c r="V118" s="53"/>
      <c r="W118" s="8"/>
      <c r="X118" s="7"/>
      <c r="Y118"/>
      <c r="Z118"/>
      <c r="AA118"/>
      <c r="AB118"/>
      <c r="AC118"/>
      <c r="AD118"/>
      <c r="AE118"/>
      <c r="AF118"/>
      <c r="AG118"/>
      <c r="AH118"/>
      <c r="AI118" s="53"/>
      <c r="AJ118" s="53"/>
      <c r="AK118" s="57">
        <f t="shared" si="6"/>
        <v>0</v>
      </c>
      <c r="AM118" s="7"/>
      <c r="AN118"/>
      <c r="AO118"/>
      <c r="AP118"/>
      <c r="AQ118"/>
      <c r="AR118"/>
      <c r="AS118"/>
      <c r="AT118"/>
      <c r="AU118"/>
      <c r="AV118"/>
      <c r="AW118"/>
      <c r="AX118" s="53"/>
      <c r="AY118" s="57">
        <f t="shared" si="7"/>
        <v>0</v>
      </c>
      <c r="BA118" s="7"/>
      <c r="BB118"/>
      <c r="BC118"/>
      <c r="BD118"/>
      <c r="BE118"/>
      <c r="BF118"/>
      <c r="BG118"/>
      <c r="BH118"/>
      <c r="BI118"/>
      <c r="BJ118"/>
      <c r="BK118"/>
      <c r="BL118"/>
      <c r="BM118"/>
      <c r="BN118" s="118"/>
      <c r="BO118" s="57">
        <f t="shared" si="8"/>
        <v>0</v>
      </c>
      <c r="BQ118" s="121"/>
      <c r="BR118"/>
      <c r="BS118"/>
      <c r="BT118"/>
      <c r="BU118"/>
      <c r="BV118" s="57">
        <f t="shared" si="9"/>
        <v>0</v>
      </c>
      <c r="BX118" s="57">
        <f t="shared" si="10"/>
        <v>0</v>
      </c>
      <c r="BY118" s="127">
        <f t="shared" si="11"/>
        <v>0</v>
      </c>
    </row>
    <row r="119" spans="1:77" x14ac:dyDescent="0.2">
      <c r="A119" s="26">
        <f t="shared" si="4"/>
        <v>0</v>
      </c>
      <c r="D119" s="98"/>
      <c r="E119" s="61"/>
      <c r="F119" s="61">
        <f t="shared" si="12"/>
        <v>0</v>
      </c>
      <c r="G119" s="57">
        <f t="shared" si="5"/>
        <v>0</v>
      </c>
      <c r="I119" s="7"/>
      <c r="J119"/>
      <c r="K119"/>
      <c r="L119"/>
      <c r="M119"/>
      <c r="N119"/>
      <c r="O119"/>
      <c r="P119"/>
      <c r="Q119"/>
      <c r="R119"/>
      <c r="S119"/>
      <c r="T119"/>
      <c r="U119"/>
      <c r="V119" s="53"/>
      <c r="W119" s="8"/>
      <c r="X119" s="7"/>
      <c r="Y119"/>
      <c r="Z119"/>
      <c r="AA119"/>
      <c r="AB119"/>
      <c r="AC119"/>
      <c r="AD119"/>
      <c r="AE119"/>
      <c r="AF119"/>
      <c r="AG119"/>
      <c r="AH119"/>
      <c r="AI119" s="53"/>
      <c r="AJ119" s="53"/>
      <c r="AK119" s="57">
        <f t="shared" si="6"/>
        <v>0</v>
      </c>
      <c r="AM119" s="7"/>
      <c r="AN119"/>
      <c r="AO119"/>
      <c r="AP119"/>
      <c r="AQ119"/>
      <c r="AR119"/>
      <c r="AS119"/>
      <c r="AT119"/>
      <c r="AU119"/>
      <c r="AV119"/>
      <c r="AW119"/>
      <c r="AX119" s="53"/>
      <c r="AY119" s="57">
        <f t="shared" si="7"/>
        <v>0</v>
      </c>
      <c r="BA119" s="7"/>
      <c r="BB119"/>
      <c r="BC119"/>
      <c r="BD119"/>
      <c r="BE119"/>
      <c r="BF119"/>
      <c r="BG119"/>
      <c r="BH119"/>
      <c r="BI119"/>
      <c r="BJ119"/>
      <c r="BK119"/>
      <c r="BL119"/>
      <c r="BM119"/>
      <c r="BN119" s="118"/>
      <c r="BO119" s="57">
        <f t="shared" si="8"/>
        <v>0</v>
      </c>
      <c r="BQ119" s="121"/>
      <c r="BR119"/>
      <c r="BS119"/>
      <c r="BT119"/>
      <c r="BU119"/>
      <c r="BV119" s="57">
        <f t="shared" si="9"/>
        <v>0</v>
      </c>
      <c r="BX119" s="57">
        <f t="shared" si="10"/>
        <v>0</v>
      </c>
      <c r="BY119" s="127">
        <f t="shared" si="11"/>
        <v>0</v>
      </c>
    </row>
    <row r="120" spans="1:77" x14ac:dyDescent="0.2">
      <c r="A120" s="26">
        <f t="shared" si="4"/>
        <v>0</v>
      </c>
      <c r="D120" s="98"/>
      <c r="E120" s="61"/>
      <c r="F120" s="61">
        <f t="shared" si="12"/>
        <v>0</v>
      </c>
      <c r="G120" s="57">
        <f t="shared" si="5"/>
        <v>0</v>
      </c>
      <c r="I120" s="7"/>
      <c r="J120"/>
      <c r="K120"/>
      <c r="L120"/>
      <c r="M120"/>
      <c r="N120"/>
      <c r="O120"/>
      <c r="P120"/>
      <c r="Q120"/>
      <c r="R120"/>
      <c r="S120"/>
      <c r="T120"/>
      <c r="U120"/>
      <c r="V120" s="53"/>
      <c r="W120" s="8"/>
      <c r="X120" s="7"/>
      <c r="Y120"/>
      <c r="Z120"/>
      <c r="AA120"/>
      <c r="AB120"/>
      <c r="AC120"/>
      <c r="AD120"/>
      <c r="AE120"/>
      <c r="AF120"/>
      <c r="AG120"/>
      <c r="AH120"/>
      <c r="AI120" s="53"/>
      <c r="AJ120" s="53"/>
      <c r="AK120" s="57">
        <f t="shared" si="6"/>
        <v>0</v>
      </c>
      <c r="AM120" s="7"/>
      <c r="AN120"/>
      <c r="AO120"/>
      <c r="AP120"/>
      <c r="AQ120"/>
      <c r="AR120"/>
      <c r="AS120"/>
      <c r="AT120"/>
      <c r="AU120"/>
      <c r="AV120"/>
      <c r="AW120"/>
      <c r="AX120" s="53"/>
      <c r="AY120" s="57">
        <f t="shared" si="7"/>
        <v>0</v>
      </c>
      <c r="BA120" s="7"/>
      <c r="BB120"/>
      <c r="BC120"/>
      <c r="BD120"/>
      <c r="BE120"/>
      <c r="BF120"/>
      <c r="BG120"/>
      <c r="BH120"/>
      <c r="BI120"/>
      <c r="BJ120"/>
      <c r="BK120"/>
      <c r="BL120"/>
      <c r="BM120"/>
      <c r="BN120" s="118"/>
      <c r="BO120" s="57">
        <f t="shared" si="8"/>
        <v>0</v>
      </c>
      <c r="BQ120" s="121"/>
      <c r="BR120"/>
      <c r="BS120"/>
      <c r="BT120"/>
      <c r="BU120"/>
      <c r="BV120" s="57">
        <f t="shared" si="9"/>
        <v>0</v>
      </c>
      <c r="BX120" s="57">
        <f t="shared" si="10"/>
        <v>0</v>
      </c>
      <c r="BY120" s="127">
        <f t="shared" si="11"/>
        <v>0</v>
      </c>
    </row>
    <row r="121" spans="1:77" x14ac:dyDescent="0.2">
      <c r="A121" s="26">
        <f t="shared" si="4"/>
        <v>0</v>
      </c>
      <c r="D121" s="98"/>
      <c r="E121" s="61"/>
      <c r="F121" s="61">
        <f t="shared" si="12"/>
        <v>0</v>
      </c>
      <c r="G121" s="57">
        <f t="shared" si="5"/>
        <v>0</v>
      </c>
      <c r="I121" s="7"/>
      <c r="J121"/>
      <c r="K121"/>
      <c r="L121"/>
      <c r="M121"/>
      <c r="N121"/>
      <c r="O121"/>
      <c r="P121"/>
      <c r="Q121"/>
      <c r="R121"/>
      <c r="S121"/>
      <c r="T121"/>
      <c r="U121"/>
      <c r="V121" s="53"/>
      <c r="W121" s="8"/>
      <c r="X121" s="7"/>
      <c r="Y121"/>
      <c r="Z121"/>
      <c r="AA121"/>
      <c r="AB121"/>
      <c r="AC121"/>
      <c r="AD121"/>
      <c r="AE121"/>
      <c r="AF121"/>
      <c r="AG121"/>
      <c r="AH121"/>
      <c r="AI121" s="53"/>
      <c r="AJ121" s="53"/>
      <c r="AK121" s="57">
        <f t="shared" si="6"/>
        <v>0</v>
      </c>
      <c r="AM121" s="7"/>
      <c r="AN121"/>
      <c r="AO121"/>
      <c r="AP121"/>
      <c r="AQ121"/>
      <c r="AR121"/>
      <c r="AS121"/>
      <c r="AT121"/>
      <c r="AU121"/>
      <c r="AV121"/>
      <c r="AW121"/>
      <c r="AX121" s="53"/>
      <c r="AY121" s="57">
        <f t="shared" si="7"/>
        <v>0</v>
      </c>
      <c r="BA121" s="7"/>
      <c r="BB121"/>
      <c r="BC121"/>
      <c r="BD121"/>
      <c r="BE121"/>
      <c r="BF121"/>
      <c r="BG121"/>
      <c r="BH121"/>
      <c r="BI121"/>
      <c r="BJ121"/>
      <c r="BK121"/>
      <c r="BL121"/>
      <c r="BM121"/>
      <c r="BN121" s="118"/>
      <c r="BO121" s="57">
        <f t="shared" si="8"/>
        <v>0</v>
      </c>
      <c r="BQ121" s="121"/>
      <c r="BR121"/>
      <c r="BS121"/>
      <c r="BT121"/>
      <c r="BU121"/>
      <c r="BV121" s="57">
        <f t="shared" si="9"/>
        <v>0</v>
      </c>
      <c r="BX121" s="57">
        <f t="shared" si="10"/>
        <v>0</v>
      </c>
      <c r="BY121" s="127">
        <f t="shared" si="11"/>
        <v>0</v>
      </c>
    </row>
    <row r="122" spans="1:77" x14ac:dyDescent="0.2">
      <c r="A122" s="26">
        <f t="shared" si="4"/>
        <v>0</v>
      </c>
      <c r="D122" s="98"/>
      <c r="E122" s="61"/>
      <c r="F122" s="61">
        <f t="shared" si="12"/>
        <v>0</v>
      </c>
      <c r="G122" s="57">
        <f t="shared" si="5"/>
        <v>0</v>
      </c>
      <c r="I122" s="7"/>
      <c r="J122"/>
      <c r="K122"/>
      <c r="L122"/>
      <c r="M122"/>
      <c r="N122"/>
      <c r="O122"/>
      <c r="P122"/>
      <c r="Q122"/>
      <c r="R122"/>
      <c r="S122"/>
      <c r="T122"/>
      <c r="U122"/>
      <c r="V122" s="53"/>
      <c r="W122" s="8"/>
      <c r="X122" s="7"/>
      <c r="Y122"/>
      <c r="Z122"/>
      <c r="AA122"/>
      <c r="AB122"/>
      <c r="AC122"/>
      <c r="AD122"/>
      <c r="AE122"/>
      <c r="AF122"/>
      <c r="AG122"/>
      <c r="AH122"/>
      <c r="AI122" s="53"/>
      <c r="AJ122" s="53"/>
      <c r="AK122" s="57">
        <f t="shared" si="6"/>
        <v>0</v>
      </c>
      <c r="AM122" s="7"/>
      <c r="AN122"/>
      <c r="AO122"/>
      <c r="AP122"/>
      <c r="AQ122"/>
      <c r="AR122"/>
      <c r="AS122"/>
      <c r="AT122"/>
      <c r="AU122"/>
      <c r="AV122"/>
      <c r="AW122"/>
      <c r="AX122" s="53"/>
      <c r="AY122" s="57">
        <f t="shared" si="7"/>
        <v>0</v>
      </c>
      <c r="BA122" s="7"/>
      <c r="BB122"/>
      <c r="BC122"/>
      <c r="BD122"/>
      <c r="BE122"/>
      <c r="BF122"/>
      <c r="BG122"/>
      <c r="BH122"/>
      <c r="BI122"/>
      <c r="BJ122"/>
      <c r="BK122"/>
      <c r="BL122"/>
      <c r="BM122"/>
      <c r="BN122" s="118"/>
      <c r="BO122" s="57">
        <f t="shared" si="8"/>
        <v>0</v>
      </c>
      <c r="BQ122" s="121"/>
      <c r="BR122"/>
      <c r="BS122"/>
      <c r="BT122"/>
      <c r="BU122"/>
      <c r="BV122" s="57">
        <f t="shared" si="9"/>
        <v>0</v>
      </c>
      <c r="BX122" s="57">
        <f t="shared" si="10"/>
        <v>0</v>
      </c>
      <c r="BY122" s="127">
        <f t="shared" si="11"/>
        <v>0</v>
      </c>
    </row>
    <row r="123" spans="1:77" x14ac:dyDescent="0.2">
      <c r="A123" s="26">
        <f t="shared" si="4"/>
        <v>0</v>
      </c>
      <c r="D123" s="98"/>
      <c r="E123" s="61"/>
      <c r="F123" s="61">
        <f t="shared" si="12"/>
        <v>0</v>
      </c>
      <c r="G123" s="57">
        <f t="shared" si="5"/>
        <v>0</v>
      </c>
      <c r="I123" s="7"/>
      <c r="J123"/>
      <c r="K123"/>
      <c r="L123"/>
      <c r="M123"/>
      <c r="N123"/>
      <c r="O123"/>
      <c r="P123"/>
      <c r="Q123"/>
      <c r="R123"/>
      <c r="S123"/>
      <c r="T123"/>
      <c r="U123"/>
      <c r="V123" s="53"/>
      <c r="W123" s="8"/>
      <c r="X123" s="7"/>
      <c r="Y123"/>
      <c r="Z123"/>
      <c r="AA123"/>
      <c r="AB123"/>
      <c r="AC123"/>
      <c r="AD123"/>
      <c r="AE123"/>
      <c r="AF123"/>
      <c r="AG123"/>
      <c r="AH123"/>
      <c r="AI123" s="53"/>
      <c r="AJ123" s="53"/>
      <c r="AK123" s="57">
        <f t="shared" si="6"/>
        <v>0</v>
      </c>
      <c r="AM123" s="7"/>
      <c r="AN123"/>
      <c r="AO123"/>
      <c r="AP123"/>
      <c r="AQ123"/>
      <c r="AR123"/>
      <c r="AS123"/>
      <c r="AT123"/>
      <c r="AU123"/>
      <c r="AV123"/>
      <c r="AW123"/>
      <c r="AX123" s="53"/>
      <c r="AY123" s="57">
        <f t="shared" si="7"/>
        <v>0</v>
      </c>
      <c r="BA123" s="7"/>
      <c r="BB123"/>
      <c r="BC123"/>
      <c r="BD123"/>
      <c r="BE123"/>
      <c r="BF123"/>
      <c r="BG123"/>
      <c r="BH123"/>
      <c r="BI123"/>
      <c r="BJ123"/>
      <c r="BK123"/>
      <c r="BL123"/>
      <c r="BM123"/>
      <c r="BN123" s="118"/>
      <c r="BO123" s="57">
        <f t="shared" si="8"/>
        <v>0</v>
      </c>
      <c r="BQ123" s="121"/>
      <c r="BR123"/>
      <c r="BS123"/>
      <c r="BT123"/>
      <c r="BU123"/>
      <c r="BV123" s="57">
        <f t="shared" si="9"/>
        <v>0</v>
      </c>
      <c r="BX123" s="57">
        <f t="shared" si="10"/>
        <v>0</v>
      </c>
      <c r="BY123" s="127">
        <f t="shared" si="11"/>
        <v>0</v>
      </c>
    </row>
    <row r="124" spans="1:77" x14ac:dyDescent="0.2">
      <c r="A124" s="26">
        <f t="shared" si="4"/>
        <v>0</v>
      </c>
      <c r="D124" s="98"/>
      <c r="E124" s="61"/>
      <c r="F124" s="61">
        <f t="shared" si="12"/>
        <v>0</v>
      </c>
      <c r="G124" s="57">
        <f t="shared" si="5"/>
        <v>0</v>
      </c>
      <c r="I124" s="7"/>
      <c r="J124"/>
      <c r="K124"/>
      <c r="L124"/>
      <c r="M124"/>
      <c r="N124"/>
      <c r="O124"/>
      <c r="P124"/>
      <c r="Q124"/>
      <c r="R124"/>
      <c r="S124"/>
      <c r="T124"/>
      <c r="U124"/>
      <c r="V124" s="53"/>
      <c r="W124" s="8"/>
      <c r="X124" s="7"/>
      <c r="Y124"/>
      <c r="Z124"/>
      <c r="AA124"/>
      <c r="AB124"/>
      <c r="AC124"/>
      <c r="AD124"/>
      <c r="AE124"/>
      <c r="AF124"/>
      <c r="AG124"/>
      <c r="AH124"/>
      <c r="AI124" s="53"/>
      <c r="AJ124" s="53"/>
      <c r="AK124" s="57">
        <f t="shared" si="6"/>
        <v>0</v>
      </c>
      <c r="AM124" s="7"/>
      <c r="AN124"/>
      <c r="AO124"/>
      <c r="AP124"/>
      <c r="AQ124"/>
      <c r="AR124"/>
      <c r="AS124"/>
      <c r="AT124"/>
      <c r="AU124"/>
      <c r="AV124"/>
      <c r="AW124"/>
      <c r="AX124" s="53"/>
      <c r="AY124" s="57">
        <f t="shared" si="7"/>
        <v>0</v>
      </c>
      <c r="BA124" s="7"/>
      <c r="BB124"/>
      <c r="BC124"/>
      <c r="BD124"/>
      <c r="BE124"/>
      <c r="BF124"/>
      <c r="BG124"/>
      <c r="BH124"/>
      <c r="BI124"/>
      <c r="BJ124"/>
      <c r="BK124"/>
      <c r="BL124"/>
      <c r="BM124"/>
      <c r="BN124" s="118"/>
      <c r="BO124" s="57">
        <f t="shared" si="8"/>
        <v>0</v>
      </c>
      <c r="BQ124" s="121"/>
      <c r="BR124"/>
      <c r="BS124"/>
      <c r="BT124"/>
      <c r="BU124"/>
      <c r="BV124" s="57">
        <f t="shared" si="9"/>
        <v>0</v>
      </c>
      <c r="BX124" s="57">
        <f t="shared" si="10"/>
        <v>0</v>
      </c>
      <c r="BY124" s="127">
        <f t="shared" si="11"/>
        <v>0</v>
      </c>
    </row>
    <row r="125" spans="1:77" x14ac:dyDescent="0.2">
      <c r="A125" s="26">
        <f t="shared" si="4"/>
        <v>0</v>
      </c>
      <c r="D125" s="98"/>
      <c r="E125" s="61"/>
      <c r="F125" s="61">
        <f t="shared" si="12"/>
        <v>0</v>
      </c>
      <c r="G125" s="57">
        <f t="shared" si="5"/>
        <v>0</v>
      </c>
      <c r="I125" s="7"/>
      <c r="J125"/>
      <c r="K125"/>
      <c r="L125"/>
      <c r="M125"/>
      <c r="N125"/>
      <c r="O125"/>
      <c r="P125"/>
      <c r="Q125"/>
      <c r="R125"/>
      <c r="S125"/>
      <c r="T125"/>
      <c r="U125"/>
      <c r="V125" s="53"/>
      <c r="W125" s="8"/>
      <c r="X125" s="7"/>
      <c r="Y125"/>
      <c r="Z125"/>
      <c r="AA125"/>
      <c r="AB125"/>
      <c r="AC125"/>
      <c r="AD125"/>
      <c r="AE125"/>
      <c r="AF125"/>
      <c r="AG125"/>
      <c r="AH125"/>
      <c r="AI125" s="53"/>
      <c r="AJ125" s="53"/>
      <c r="AK125" s="57">
        <f t="shared" si="6"/>
        <v>0</v>
      </c>
      <c r="AM125" s="7"/>
      <c r="AN125"/>
      <c r="AO125"/>
      <c r="AP125"/>
      <c r="AQ125"/>
      <c r="AR125"/>
      <c r="AS125"/>
      <c r="AT125"/>
      <c r="AU125"/>
      <c r="AV125"/>
      <c r="AW125"/>
      <c r="AX125" s="53"/>
      <c r="AY125" s="57">
        <f t="shared" si="7"/>
        <v>0</v>
      </c>
      <c r="BA125" s="7"/>
      <c r="BB125"/>
      <c r="BC125"/>
      <c r="BD125"/>
      <c r="BE125"/>
      <c r="BF125"/>
      <c r="BG125"/>
      <c r="BH125"/>
      <c r="BI125"/>
      <c r="BJ125"/>
      <c r="BK125"/>
      <c r="BL125"/>
      <c r="BM125"/>
      <c r="BN125" s="118"/>
      <c r="BO125" s="57">
        <f t="shared" si="8"/>
        <v>0</v>
      </c>
      <c r="BQ125" s="121"/>
      <c r="BR125"/>
      <c r="BS125"/>
      <c r="BT125"/>
      <c r="BU125"/>
      <c r="BV125" s="57">
        <f t="shared" si="9"/>
        <v>0</v>
      </c>
      <c r="BX125" s="57">
        <f t="shared" si="10"/>
        <v>0</v>
      </c>
      <c r="BY125" s="127">
        <f t="shared" si="11"/>
        <v>0</v>
      </c>
    </row>
    <row r="126" spans="1:77" x14ac:dyDescent="0.2">
      <c r="A126" s="27">
        <f t="shared" si="4"/>
        <v>0</v>
      </c>
      <c r="D126" s="99"/>
      <c r="E126" s="100"/>
      <c r="F126" s="22">
        <f t="shared" si="12"/>
        <v>0</v>
      </c>
      <c r="G126" s="58">
        <f t="shared" si="5"/>
        <v>0</v>
      </c>
      <c r="I126" s="21"/>
      <c r="J126" s="47"/>
      <c r="K126" s="47"/>
      <c r="L126" s="47"/>
      <c r="M126" s="47"/>
      <c r="N126" s="47"/>
      <c r="O126" s="47"/>
      <c r="P126" s="47"/>
      <c r="Q126" s="47"/>
      <c r="R126" s="47"/>
      <c r="S126" s="47"/>
      <c r="T126" s="47"/>
      <c r="U126" s="47"/>
      <c r="V126" s="54"/>
      <c r="W126" s="6"/>
      <c r="X126" s="21"/>
      <c r="Y126" s="47"/>
      <c r="Z126" s="47"/>
      <c r="AA126" s="47"/>
      <c r="AB126" s="47"/>
      <c r="AC126" s="47"/>
      <c r="AD126" s="47"/>
      <c r="AE126" s="47"/>
      <c r="AF126" s="47"/>
      <c r="AG126" s="47"/>
      <c r="AH126" s="47"/>
      <c r="AI126" s="54"/>
      <c r="AJ126" s="54"/>
      <c r="AK126" s="58">
        <f t="shared" si="6"/>
        <v>0</v>
      </c>
      <c r="AM126" s="21"/>
      <c r="AN126" s="47"/>
      <c r="AO126" s="47"/>
      <c r="AP126" s="47"/>
      <c r="AQ126" s="47"/>
      <c r="AR126" s="47"/>
      <c r="AS126" s="47"/>
      <c r="AT126" s="47"/>
      <c r="AU126" s="47"/>
      <c r="AV126" s="47"/>
      <c r="AW126" s="47"/>
      <c r="AX126" s="54"/>
      <c r="AY126" s="58">
        <f t="shared" si="7"/>
        <v>0</v>
      </c>
      <c r="BA126" s="21"/>
      <c r="BB126" s="47"/>
      <c r="BC126" s="47"/>
      <c r="BD126" s="47"/>
      <c r="BE126" s="47"/>
      <c r="BF126" s="47"/>
      <c r="BG126" s="47"/>
      <c r="BH126" s="47"/>
      <c r="BI126" s="47"/>
      <c r="BJ126" s="47"/>
      <c r="BK126" s="47"/>
      <c r="BL126" s="47"/>
      <c r="BM126" s="47"/>
      <c r="BN126" s="119"/>
      <c r="BO126" s="58">
        <f t="shared" si="8"/>
        <v>0</v>
      </c>
      <c r="BQ126" s="122"/>
      <c r="BR126" s="47"/>
      <c r="BS126" s="47"/>
      <c r="BT126" s="47"/>
      <c r="BU126" s="47"/>
      <c r="BV126" s="58">
        <f t="shared" si="9"/>
        <v>0</v>
      </c>
      <c r="BX126" s="58">
        <f t="shared" si="10"/>
        <v>0</v>
      </c>
      <c r="BY126" s="128">
        <f t="shared" si="11"/>
        <v>0</v>
      </c>
    </row>
    <row r="128" spans="1:77" ht="19" x14ac:dyDescent="0.25">
      <c r="A128" s="167" t="s">
        <v>94</v>
      </c>
      <c r="B128" s="168"/>
      <c r="C128" s="169"/>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row>
    <row r="129" spans="1:34" ht="31" customHeight="1" x14ac:dyDescent="0.2">
      <c r="A129" s="116" t="s">
        <v>38</v>
      </c>
      <c r="B129" s="12"/>
      <c r="C129" s="34" t="s">
        <v>42</v>
      </c>
      <c r="D129" s="35">
        <v>0</v>
      </c>
      <c r="E129" s="35">
        <v>1</v>
      </c>
      <c r="F129" s="35">
        <v>2</v>
      </c>
      <c r="G129" s="35">
        <v>3</v>
      </c>
      <c r="H129" s="45">
        <v>4</v>
      </c>
      <c r="I129" s="45">
        <v>5</v>
      </c>
      <c r="J129" s="45">
        <v>6</v>
      </c>
      <c r="K129" s="45">
        <v>7</v>
      </c>
      <c r="L129" s="45">
        <v>8</v>
      </c>
      <c r="M129" s="45">
        <v>9</v>
      </c>
      <c r="N129" s="45">
        <v>10</v>
      </c>
      <c r="O129" s="45">
        <v>11</v>
      </c>
      <c r="P129" s="45">
        <v>12</v>
      </c>
      <c r="Q129" s="45">
        <v>13</v>
      </c>
      <c r="R129" s="45">
        <v>14</v>
      </c>
      <c r="S129" s="45">
        <v>15</v>
      </c>
      <c r="T129" s="45">
        <v>16</v>
      </c>
      <c r="U129" s="45">
        <v>17</v>
      </c>
      <c r="V129" s="45">
        <v>18</v>
      </c>
      <c r="W129" s="45">
        <v>19</v>
      </c>
      <c r="X129" s="45">
        <v>20</v>
      </c>
      <c r="Y129" s="45">
        <v>21</v>
      </c>
      <c r="Z129" s="45">
        <v>22</v>
      </c>
      <c r="AA129" s="45">
        <v>23</v>
      </c>
      <c r="AB129" s="45">
        <v>24</v>
      </c>
      <c r="AC129" s="45">
        <v>25</v>
      </c>
      <c r="AD129" s="45">
        <v>26</v>
      </c>
      <c r="AE129" s="38">
        <v>27</v>
      </c>
      <c r="AF129" s="59"/>
      <c r="AG129" s="37" t="s">
        <v>95</v>
      </c>
      <c r="AH129" s="38" t="s">
        <v>43</v>
      </c>
    </row>
    <row r="130" spans="1:34" x14ac:dyDescent="0.2">
      <c r="A130" s="28" t="str">
        <f>A4</f>
        <v>Learner One</v>
      </c>
      <c r="D130" s="18">
        <v>0.5</v>
      </c>
      <c r="E130" s="18">
        <v>0.5</v>
      </c>
      <c r="F130" s="46">
        <v>0.5</v>
      </c>
      <c r="G130" s="46">
        <v>0.5</v>
      </c>
      <c r="H130" s="46">
        <v>0.5</v>
      </c>
      <c r="I130" s="46">
        <v>1</v>
      </c>
      <c r="J130" s="46">
        <v>2</v>
      </c>
      <c r="K130" s="46">
        <v>1</v>
      </c>
      <c r="L130" s="46">
        <v>1</v>
      </c>
      <c r="M130" s="46">
        <v>1</v>
      </c>
      <c r="N130" s="46">
        <v>1</v>
      </c>
      <c r="O130" s="46">
        <v>0.5</v>
      </c>
      <c r="P130" s="46">
        <v>2</v>
      </c>
      <c r="Q130" s="46">
        <v>1</v>
      </c>
      <c r="R130" s="46">
        <v>2</v>
      </c>
      <c r="S130" s="46">
        <v>0.5</v>
      </c>
      <c r="T130" s="46">
        <v>0.5</v>
      </c>
      <c r="U130" s="46">
        <v>2</v>
      </c>
      <c r="V130" s="46">
        <v>1</v>
      </c>
      <c r="W130" s="46">
        <v>1</v>
      </c>
      <c r="X130" s="46">
        <v>1</v>
      </c>
      <c r="Y130" s="46">
        <v>1</v>
      </c>
      <c r="Z130" s="46">
        <v>1.34</v>
      </c>
      <c r="AA130" s="46">
        <v>0</v>
      </c>
      <c r="AB130" s="46">
        <v>0.5</v>
      </c>
      <c r="AC130" s="46">
        <v>0</v>
      </c>
      <c r="AD130" s="46">
        <v>1</v>
      </c>
      <c r="AE130" s="5">
        <v>1</v>
      </c>
      <c r="AG130" s="56">
        <f>SUM(D130:AE130)</f>
        <v>25.84</v>
      </c>
      <c r="AH130" s="126">
        <f>AG130/30</f>
        <v>0.86133333333333328</v>
      </c>
    </row>
    <row r="131" spans="1:34" x14ac:dyDescent="0.2">
      <c r="A131" s="29" t="str">
        <f t="shared" ref="A131:A189" si="13">A5</f>
        <v>Learner Two</v>
      </c>
      <c r="D131" s="7">
        <v>0</v>
      </c>
      <c r="E131" s="7">
        <v>0.5</v>
      </c>
      <c r="F131">
        <v>1</v>
      </c>
      <c r="G131">
        <v>0</v>
      </c>
      <c r="H131">
        <v>0.5</v>
      </c>
      <c r="I131">
        <v>1</v>
      </c>
      <c r="J131">
        <v>2</v>
      </c>
      <c r="K131">
        <v>0</v>
      </c>
      <c r="L131">
        <v>1</v>
      </c>
      <c r="M131">
        <v>1</v>
      </c>
      <c r="N131">
        <v>1</v>
      </c>
      <c r="O131">
        <v>0</v>
      </c>
      <c r="P131">
        <v>2</v>
      </c>
      <c r="Q131">
        <v>1</v>
      </c>
      <c r="R131">
        <v>2</v>
      </c>
      <c r="S131">
        <v>1</v>
      </c>
      <c r="T131">
        <v>1</v>
      </c>
      <c r="U131">
        <v>0</v>
      </c>
      <c r="V131">
        <v>1</v>
      </c>
      <c r="W131">
        <v>1</v>
      </c>
      <c r="X131">
        <v>1</v>
      </c>
      <c r="Y131">
        <v>0</v>
      </c>
      <c r="Z131">
        <v>1.34</v>
      </c>
      <c r="AA131">
        <v>1</v>
      </c>
      <c r="AB131">
        <v>0.5</v>
      </c>
      <c r="AC131">
        <v>0.5</v>
      </c>
      <c r="AD131">
        <v>1</v>
      </c>
      <c r="AE131" s="8">
        <v>1</v>
      </c>
      <c r="AG131" s="57">
        <f t="shared" ref="AG131:AG189" si="14">SUM(D131:AE131)</f>
        <v>23.34</v>
      </c>
      <c r="AH131" s="127">
        <f t="shared" ref="AH131:AH189" si="15">AG131/30</f>
        <v>0.77800000000000002</v>
      </c>
    </row>
    <row r="132" spans="1:34" x14ac:dyDescent="0.2">
      <c r="A132" s="29">
        <f t="shared" si="13"/>
        <v>0</v>
      </c>
      <c r="D132" s="7"/>
      <c r="E132" s="7"/>
      <c r="F132"/>
      <c r="G132"/>
      <c r="H132"/>
      <c r="I132"/>
      <c r="J132"/>
      <c r="K132"/>
      <c r="L132"/>
      <c r="M132"/>
      <c r="N132"/>
      <c r="O132"/>
      <c r="P132"/>
      <c r="Q132"/>
      <c r="R132"/>
      <c r="S132"/>
      <c r="T132"/>
      <c r="U132"/>
      <c r="V132"/>
      <c r="W132"/>
      <c r="X132"/>
      <c r="Y132"/>
      <c r="Z132"/>
      <c r="AA132"/>
      <c r="AB132"/>
      <c r="AC132"/>
      <c r="AD132"/>
      <c r="AE132" s="8"/>
      <c r="AG132" s="57">
        <f t="shared" si="14"/>
        <v>0</v>
      </c>
      <c r="AH132" s="127">
        <f t="shared" si="15"/>
        <v>0</v>
      </c>
    </row>
    <row r="133" spans="1:34" x14ac:dyDescent="0.2">
      <c r="A133" s="29">
        <f t="shared" si="13"/>
        <v>0</v>
      </c>
      <c r="D133" s="7"/>
      <c r="E133" s="7"/>
      <c r="F133"/>
      <c r="G133"/>
      <c r="H133"/>
      <c r="I133"/>
      <c r="J133"/>
      <c r="K133"/>
      <c r="L133"/>
      <c r="M133"/>
      <c r="N133"/>
      <c r="O133"/>
      <c r="P133"/>
      <c r="Q133"/>
      <c r="R133"/>
      <c r="S133"/>
      <c r="T133"/>
      <c r="U133"/>
      <c r="V133"/>
      <c r="W133"/>
      <c r="X133"/>
      <c r="Y133"/>
      <c r="Z133"/>
      <c r="AA133"/>
      <c r="AB133"/>
      <c r="AC133"/>
      <c r="AD133"/>
      <c r="AE133" s="8"/>
      <c r="AG133" s="57">
        <f t="shared" si="14"/>
        <v>0</v>
      </c>
      <c r="AH133" s="127">
        <f t="shared" si="15"/>
        <v>0</v>
      </c>
    </row>
    <row r="134" spans="1:34" x14ac:dyDescent="0.2">
      <c r="A134" s="29">
        <f t="shared" si="13"/>
        <v>0</v>
      </c>
      <c r="D134" s="7"/>
      <c r="E134" s="7"/>
      <c r="F134"/>
      <c r="G134"/>
      <c r="H134"/>
      <c r="I134"/>
      <c r="J134"/>
      <c r="K134"/>
      <c r="L134"/>
      <c r="M134"/>
      <c r="N134"/>
      <c r="O134"/>
      <c r="P134"/>
      <c r="Q134"/>
      <c r="R134"/>
      <c r="S134"/>
      <c r="T134"/>
      <c r="U134"/>
      <c r="V134"/>
      <c r="W134"/>
      <c r="X134"/>
      <c r="Y134"/>
      <c r="Z134"/>
      <c r="AA134"/>
      <c r="AB134"/>
      <c r="AC134"/>
      <c r="AD134"/>
      <c r="AE134" s="8"/>
      <c r="AG134" s="57">
        <f t="shared" si="14"/>
        <v>0</v>
      </c>
      <c r="AH134" s="127">
        <f t="shared" si="15"/>
        <v>0</v>
      </c>
    </row>
    <row r="135" spans="1:34" x14ac:dyDescent="0.2">
      <c r="A135" s="29">
        <f t="shared" si="13"/>
        <v>0</v>
      </c>
      <c r="D135" s="7"/>
      <c r="E135" s="7"/>
      <c r="F135"/>
      <c r="G135"/>
      <c r="H135"/>
      <c r="I135"/>
      <c r="J135"/>
      <c r="K135"/>
      <c r="L135"/>
      <c r="M135"/>
      <c r="N135"/>
      <c r="O135"/>
      <c r="P135"/>
      <c r="Q135"/>
      <c r="R135"/>
      <c r="S135"/>
      <c r="T135"/>
      <c r="U135"/>
      <c r="V135"/>
      <c r="W135"/>
      <c r="X135"/>
      <c r="Y135"/>
      <c r="Z135"/>
      <c r="AA135"/>
      <c r="AB135"/>
      <c r="AC135"/>
      <c r="AD135"/>
      <c r="AE135" s="8"/>
      <c r="AG135" s="57">
        <f t="shared" si="14"/>
        <v>0</v>
      </c>
      <c r="AH135" s="127">
        <f t="shared" si="15"/>
        <v>0</v>
      </c>
    </row>
    <row r="136" spans="1:34" x14ac:dyDescent="0.2">
      <c r="A136" s="29">
        <f t="shared" si="13"/>
        <v>0</v>
      </c>
      <c r="D136" s="7"/>
      <c r="E136" s="7"/>
      <c r="F136"/>
      <c r="G136"/>
      <c r="H136"/>
      <c r="I136"/>
      <c r="J136"/>
      <c r="K136"/>
      <c r="L136"/>
      <c r="M136"/>
      <c r="N136"/>
      <c r="O136"/>
      <c r="P136"/>
      <c r="Q136"/>
      <c r="R136"/>
      <c r="S136"/>
      <c r="T136"/>
      <c r="U136"/>
      <c r="V136"/>
      <c r="W136"/>
      <c r="X136"/>
      <c r="Y136"/>
      <c r="Z136"/>
      <c r="AA136"/>
      <c r="AB136"/>
      <c r="AC136"/>
      <c r="AD136"/>
      <c r="AE136" s="8"/>
      <c r="AG136" s="57">
        <f t="shared" si="14"/>
        <v>0</v>
      </c>
      <c r="AH136" s="127">
        <f t="shared" si="15"/>
        <v>0</v>
      </c>
    </row>
    <row r="137" spans="1:34" x14ac:dyDescent="0.2">
      <c r="A137" s="29">
        <f t="shared" si="13"/>
        <v>0</v>
      </c>
      <c r="D137" s="7"/>
      <c r="E137" s="7"/>
      <c r="F137"/>
      <c r="G137"/>
      <c r="H137"/>
      <c r="I137"/>
      <c r="J137"/>
      <c r="K137"/>
      <c r="L137"/>
      <c r="M137"/>
      <c r="N137"/>
      <c r="O137"/>
      <c r="P137"/>
      <c r="Q137"/>
      <c r="R137"/>
      <c r="S137"/>
      <c r="T137"/>
      <c r="U137"/>
      <c r="V137"/>
      <c r="W137"/>
      <c r="X137"/>
      <c r="Y137"/>
      <c r="Z137"/>
      <c r="AA137"/>
      <c r="AB137"/>
      <c r="AC137"/>
      <c r="AD137"/>
      <c r="AE137" s="8"/>
      <c r="AG137" s="57">
        <f t="shared" si="14"/>
        <v>0</v>
      </c>
      <c r="AH137" s="127">
        <f t="shared" si="15"/>
        <v>0</v>
      </c>
    </row>
    <row r="138" spans="1:34" x14ac:dyDescent="0.2">
      <c r="A138" s="29">
        <f t="shared" si="13"/>
        <v>0</v>
      </c>
      <c r="D138" s="7"/>
      <c r="E138" s="7"/>
      <c r="F138"/>
      <c r="G138"/>
      <c r="H138"/>
      <c r="I138"/>
      <c r="J138"/>
      <c r="K138"/>
      <c r="L138"/>
      <c r="M138"/>
      <c r="N138"/>
      <c r="O138"/>
      <c r="P138"/>
      <c r="Q138"/>
      <c r="R138"/>
      <c r="S138"/>
      <c r="T138"/>
      <c r="U138"/>
      <c r="V138"/>
      <c r="W138"/>
      <c r="X138"/>
      <c r="Y138"/>
      <c r="Z138"/>
      <c r="AA138"/>
      <c r="AB138"/>
      <c r="AC138"/>
      <c r="AD138"/>
      <c r="AE138" s="8"/>
      <c r="AG138" s="57">
        <f t="shared" si="14"/>
        <v>0</v>
      </c>
      <c r="AH138" s="127">
        <f t="shared" si="15"/>
        <v>0</v>
      </c>
    </row>
    <row r="139" spans="1:34" x14ac:dyDescent="0.2">
      <c r="A139" s="29">
        <f t="shared" si="13"/>
        <v>0</v>
      </c>
      <c r="D139" s="7"/>
      <c r="E139" s="7"/>
      <c r="F139"/>
      <c r="G139"/>
      <c r="H139"/>
      <c r="I139"/>
      <c r="J139"/>
      <c r="K139"/>
      <c r="L139"/>
      <c r="M139"/>
      <c r="N139"/>
      <c r="O139"/>
      <c r="P139"/>
      <c r="Q139"/>
      <c r="R139"/>
      <c r="S139"/>
      <c r="T139"/>
      <c r="U139"/>
      <c r="V139"/>
      <c r="W139"/>
      <c r="X139"/>
      <c r="Y139"/>
      <c r="Z139"/>
      <c r="AA139"/>
      <c r="AB139"/>
      <c r="AC139"/>
      <c r="AD139"/>
      <c r="AE139" s="8"/>
      <c r="AG139" s="57">
        <f t="shared" si="14"/>
        <v>0</v>
      </c>
      <c r="AH139" s="127">
        <f t="shared" si="15"/>
        <v>0</v>
      </c>
    </row>
    <row r="140" spans="1:34" x14ac:dyDescent="0.2">
      <c r="A140" s="29">
        <f t="shared" si="13"/>
        <v>0</v>
      </c>
      <c r="D140" s="7"/>
      <c r="E140" s="7"/>
      <c r="F140"/>
      <c r="G140"/>
      <c r="H140"/>
      <c r="I140"/>
      <c r="J140"/>
      <c r="K140"/>
      <c r="L140"/>
      <c r="M140"/>
      <c r="N140"/>
      <c r="O140"/>
      <c r="P140"/>
      <c r="Q140"/>
      <c r="R140"/>
      <c r="S140"/>
      <c r="T140"/>
      <c r="U140"/>
      <c r="V140"/>
      <c r="W140"/>
      <c r="X140"/>
      <c r="Y140"/>
      <c r="Z140"/>
      <c r="AA140"/>
      <c r="AB140"/>
      <c r="AC140"/>
      <c r="AD140"/>
      <c r="AE140" s="8"/>
      <c r="AG140" s="57">
        <f t="shared" si="14"/>
        <v>0</v>
      </c>
      <c r="AH140" s="127">
        <f t="shared" si="15"/>
        <v>0</v>
      </c>
    </row>
    <row r="141" spans="1:34" x14ac:dyDescent="0.2">
      <c r="A141" s="29">
        <f t="shared" si="13"/>
        <v>0</v>
      </c>
      <c r="D141" s="7"/>
      <c r="E141" s="7"/>
      <c r="F141"/>
      <c r="G141"/>
      <c r="H141"/>
      <c r="I141"/>
      <c r="J141"/>
      <c r="K141"/>
      <c r="L141"/>
      <c r="M141"/>
      <c r="N141"/>
      <c r="O141"/>
      <c r="P141"/>
      <c r="Q141"/>
      <c r="R141"/>
      <c r="S141"/>
      <c r="T141"/>
      <c r="U141"/>
      <c r="V141"/>
      <c r="W141"/>
      <c r="X141"/>
      <c r="Y141"/>
      <c r="Z141"/>
      <c r="AA141"/>
      <c r="AB141"/>
      <c r="AC141"/>
      <c r="AD141"/>
      <c r="AE141" s="8"/>
      <c r="AG141" s="57">
        <f t="shared" si="14"/>
        <v>0</v>
      </c>
      <c r="AH141" s="127">
        <f t="shared" si="15"/>
        <v>0</v>
      </c>
    </row>
    <row r="142" spans="1:34" x14ac:dyDescent="0.2">
      <c r="A142" s="29">
        <f t="shared" si="13"/>
        <v>0</v>
      </c>
      <c r="D142" s="7"/>
      <c r="E142" s="7"/>
      <c r="F142"/>
      <c r="G142"/>
      <c r="H142"/>
      <c r="I142"/>
      <c r="J142"/>
      <c r="K142"/>
      <c r="L142"/>
      <c r="M142"/>
      <c r="N142"/>
      <c r="O142"/>
      <c r="P142"/>
      <c r="Q142"/>
      <c r="R142"/>
      <c r="S142"/>
      <c r="T142"/>
      <c r="U142"/>
      <c r="V142"/>
      <c r="W142"/>
      <c r="X142"/>
      <c r="Y142"/>
      <c r="Z142"/>
      <c r="AA142"/>
      <c r="AB142"/>
      <c r="AC142"/>
      <c r="AD142"/>
      <c r="AE142" s="8"/>
      <c r="AG142" s="57">
        <f t="shared" si="14"/>
        <v>0</v>
      </c>
      <c r="AH142" s="127">
        <f t="shared" si="15"/>
        <v>0</v>
      </c>
    </row>
    <row r="143" spans="1:34" x14ac:dyDescent="0.2">
      <c r="A143" s="29">
        <f t="shared" si="13"/>
        <v>0</v>
      </c>
      <c r="D143" s="7"/>
      <c r="E143" s="7"/>
      <c r="F143"/>
      <c r="G143"/>
      <c r="H143"/>
      <c r="I143"/>
      <c r="J143"/>
      <c r="K143"/>
      <c r="L143"/>
      <c r="M143"/>
      <c r="N143"/>
      <c r="O143"/>
      <c r="P143"/>
      <c r="Q143"/>
      <c r="R143"/>
      <c r="S143"/>
      <c r="T143"/>
      <c r="U143"/>
      <c r="V143"/>
      <c r="W143"/>
      <c r="X143"/>
      <c r="Y143"/>
      <c r="Z143"/>
      <c r="AA143"/>
      <c r="AB143"/>
      <c r="AC143"/>
      <c r="AD143"/>
      <c r="AE143" s="8"/>
      <c r="AG143" s="57">
        <f t="shared" si="14"/>
        <v>0</v>
      </c>
      <c r="AH143" s="127">
        <f t="shared" si="15"/>
        <v>0</v>
      </c>
    </row>
    <row r="144" spans="1:34" x14ac:dyDescent="0.2">
      <c r="A144" s="29">
        <f t="shared" si="13"/>
        <v>0</v>
      </c>
      <c r="D144" s="7"/>
      <c r="E144" s="7"/>
      <c r="F144"/>
      <c r="G144"/>
      <c r="H144"/>
      <c r="I144"/>
      <c r="J144"/>
      <c r="K144"/>
      <c r="L144"/>
      <c r="M144"/>
      <c r="N144"/>
      <c r="O144"/>
      <c r="P144"/>
      <c r="Q144"/>
      <c r="R144"/>
      <c r="S144"/>
      <c r="T144"/>
      <c r="U144"/>
      <c r="V144"/>
      <c r="W144"/>
      <c r="X144"/>
      <c r="Y144"/>
      <c r="Z144"/>
      <c r="AA144"/>
      <c r="AB144"/>
      <c r="AC144"/>
      <c r="AD144"/>
      <c r="AE144" s="8"/>
      <c r="AG144" s="57">
        <f t="shared" si="14"/>
        <v>0</v>
      </c>
      <c r="AH144" s="127">
        <f t="shared" si="15"/>
        <v>0</v>
      </c>
    </row>
    <row r="145" spans="1:34" x14ac:dyDescent="0.2">
      <c r="A145" s="29">
        <f t="shared" si="13"/>
        <v>0</v>
      </c>
      <c r="D145" s="7"/>
      <c r="E145" s="7"/>
      <c r="F145"/>
      <c r="G145"/>
      <c r="H145"/>
      <c r="I145"/>
      <c r="J145"/>
      <c r="K145"/>
      <c r="L145"/>
      <c r="M145"/>
      <c r="N145"/>
      <c r="O145"/>
      <c r="P145"/>
      <c r="Q145"/>
      <c r="R145"/>
      <c r="S145"/>
      <c r="T145"/>
      <c r="U145"/>
      <c r="V145"/>
      <c r="W145"/>
      <c r="X145"/>
      <c r="Y145"/>
      <c r="Z145"/>
      <c r="AA145"/>
      <c r="AB145"/>
      <c r="AC145"/>
      <c r="AD145"/>
      <c r="AE145" s="8"/>
      <c r="AG145" s="57">
        <f t="shared" si="14"/>
        <v>0</v>
      </c>
      <c r="AH145" s="127">
        <f t="shared" si="15"/>
        <v>0</v>
      </c>
    </row>
    <row r="146" spans="1:34" x14ac:dyDescent="0.2">
      <c r="A146" s="29">
        <f t="shared" si="13"/>
        <v>0</v>
      </c>
      <c r="D146" s="7"/>
      <c r="E146" s="7"/>
      <c r="F146"/>
      <c r="G146"/>
      <c r="H146"/>
      <c r="I146"/>
      <c r="J146"/>
      <c r="K146"/>
      <c r="L146"/>
      <c r="M146"/>
      <c r="N146"/>
      <c r="O146"/>
      <c r="P146"/>
      <c r="Q146"/>
      <c r="R146"/>
      <c r="S146"/>
      <c r="T146"/>
      <c r="U146"/>
      <c r="V146"/>
      <c r="W146"/>
      <c r="X146"/>
      <c r="Y146"/>
      <c r="Z146"/>
      <c r="AA146"/>
      <c r="AB146"/>
      <c r="AC146"/>
      <c r="AD146"/>
      <c r="AE146" s="8"/>
      <c r="AG146" s="57">
        <f t="shared" si="14"/>
        <v>0</v>
      </c>
      <c r="AH146" s="127">
        <f t="shared" si="15"/>
        <v>0</v>
      </c>
    </row>
    <row r="147" spans="1:34" x14ac:dyDescent="0.2">
      <c r="A147" s="29">
        <f t="shared" si="13"/>
        <v>0</v>
      </c>
      <c r="D147" s="7"/>
      <c r="E147" s="7"/>
      <c r="F147"/>
      <c r="G147"/>
      <c r="H147"/>
      <c r="I147"/>
      <c r="J147"/>
      <c r="K147"/>
      <c r="L147"/>
      <c r="M147"/>
      <c r="N147"/>
      <c r="O147"/>
      <c r="P147"/>
      <c r="Q147"/>
      <c r="R147"/>
      <c r="S147"/>
      <c r="T147"/>
      <c r="U147"/>
      <c r="V147"/>
      <c r="W147"/>
      <c r="X147"/>
      <c r="Y147"/>
      <c r="Z147"/>
      <c r="AA147"/>
      <c r="AB147"/>
      <c r="AC147"/>
      <c r="AD147"/>
      <c r="AE147" s="8"/>
      <c r="AG147" s="57">
        <f t="shared" si="14"/>
        <v>0</v>
      </c>
      <c r="AH147" s="127">
        <f t="shared" si="15"/>
        <v>0</v>
      </c>
    </row>
    <row r="148" spans="1:34" x14ac:dyDescent="0.2">
      <c r="A148" s="29">
        <f t="shared" si="13"/>
        <v>0</v>
      </c>
      <c r="D148" s="7"/>
      <c r="E148" s="7"/>
      <c r="F148"/>
      <c r="G148"/>
      <c r="H148"/>
      <c r="I148"/>
      <c r="J148"/>
      <c r="K148"/>
      <c r="L148"/>
      <c r="M148"/>
      <c r="N148"/>
      <c r="O148"/>
      <c r="P148"/>
      <c r="Q148"/>
      <c r="R148"/>
      <c r="S148"/>
      <c r="T148"/>
      <c r="U148"/>
      <c r="V148"/>
      <c r="W148"/>
      <c r="X148"/>
      <c r="Y148"/>
      <c r="Z148"/>
      <c r="AA148"/>
      <c r="AB148"/>
      <c r="AC148"/>
      <c r="AD148"/>
      <c r="AE148" s="8"/>
      <c r="AG148" s="57">
        <f t="shared" si="14"/>
        <v>0</v>
      </c>
      <c r="AH148" s="127">
        <f t="shared" si="15"/>
        <v>0</v>
      </c>
    </row>
    <row r="149" spans="1:34" x14ac:dyDescent="0.2">
      <c r="A149" s="29">
        <f t="shared" si="13"/>
        <v>0</v>
      </c>
      <c r="D149" s="7"/>
      <c r="E149" s="7"/>
      <c r="F149"/>
      <c r="G149"/>
      <c r="H149"/>
      <c r="I149"/>
      <c r="J149"/>
      <c r="K149"/>
      <c r="L149"/>
      <c r="M149"/>
      <c r="N149"/>
      <c r="O149"/>
      <c r="P149"/>
      <c r="Q149"/>
      <c r="R149"/>
      <c r="S149"/>
      <c r="T149"/>
      <c r="U149"/>
      <c r="V149"/>
      <c r="W149"/>
      <c r="X149"/>
      <c r="Y149"/>
      <c r="Z149"/>
      <c r="AA149"/>
      <c r="AB149"/>
      <c r="AC149"/>
      <c r="AD149"/>
      <c r="AE149" s="8"/>
      <c r="AG149" s="57">
        <f t="shared" si="14"/>
        <v>0</v>
      </c>
      <c r="AH149" s="127">
        <f t="shared" si="15"/>
        <v>0</v>
      </c>
    </row>
    <row r="150" spans="1:34" x14ac:dyDescent="0.2">
      <c r="A150" s="29">
        <f t="shared" si="13"/>
        <v>0</v>
      </c>
      <c r="D150" s="7"/>
      <c r="E150" s="7"/>
      <c r="F150"/>
      <c r="G150"/>
      <c r="H150"/>
      <c r="I150"/>
      <c r="J150"/>
      <c r="K150"/>
      <c r="L150"/>
      <c r="M150"/>
      <c r="N150"/>
      <c r="O150"/>
      <c r="P150"/>
      <c r="Q150"/>
      <c r="R150"/>
      <c r="S150"/>
      <c r="T150"/>
      <c r="U150"/>
      <c r="V150"/>
      <c r="W150"/>
      <c r="X150"/>
      <c r="Y150"/>
      <c r="Z150"/>
      <c r="AA150"/>
      <c r="AB150"/>
      <c r="AC150"/>
      <c r="AD150"/>
      <c r="AE150" s="8"/>
      <c r="AG150" s="57">
        <f t="shared" si="14"/>
        <v>0</v>
      </c>
      <c r="AH150" s="127">
        <f t="shared" si="15"/>
        <v>0</v>
      </c>
    </row>
    <row r="151" spans="1:34" x14ac:dyDescent="0.2">
      <c r="A151" s="29">
        <f t="shared" si="13"/>
        <v>0</v>
      </c>
      <c r="D151" s="7"/>
      <c r="E151" s="7"/>
      <c r="F151"/>
      <c r="G151"/>
      <c r="H151"/>
      <c r="I151"/>
      <c r="J151"/>
      <c r="K151"/>
      <c r="L151"/>
      <c r="M151"/>
      <c r="N151"/>
      <c r="O151"/>
      <c r="P151"/>
      <c r="Q151"/>
      <c r="R151"/>
      <c r="S151"/>
      <c r="T151"/>
      <c r="U151"/>
      <c r="V151"/>
      <c r="W151"/>
      <c r="X151"/>
      <c r="Y151"/>
      <c r="Z151"/>
      <c r="AA151"/>
      <c r="AB151"/>
      <c r="AC151"/>
      <c r="AD151"/>
      <c r="AE151" s="8"/>
      <c r="AG151" s="57">
        <f t="shared" si="14"/>
        <v>0</v>
      </c>
      <c r="AH151" s="127">
        <f t="shared" si="15"/>
        <v>0</v>
      </c>
    </row>
    <row r="152" spans="1:34" x14ac:dyDescent="0.2">
      <c r="A152" s="29">
        <f t="shared" si="13"/>
        <v>0</v>
      </c>
      <c r="D152" s="7"/>
      <c r="E152" s="7"/>
      <c r="F152"/>
      <c r="G152"/>
      <c r="H152"/>
      <c r="I152"/>
      <c r="J152"/>
      <c r="K152"/>
      <c r="L152"/>
      <c r="M152"/>
      <c r="N152"/>
      <c r="O152"/>
      <c r="P152"/>
      <c r="Q152"/>
      <c r="R152"/>
      <c r="S152"/>
      <c r="T152"/>
      <c r="U152"/>
      <c r="V152"/>
      <c r="W152"/>
      <c r="X152"/>
      <c r="Y152"/>
      <c r="Z152"/>
      <c r="AA152"/>
      <c r="AB152"/>
      <c r="AC152"/>
      <c r="AD152"/>
      <c r="AE152" s="8"/>
      <c r="AG152" s="57">
        <f t="shared" si="14"/>
        <v>0</v>
      </c>
      <c r="AH152" s="127">
        <f t="shared" si="15"/>
        <v>0</v>
      </c>
    </row>
    <row r="153" spans="1:34" x14ac:dyDescent="0.2">
      <c r="A153" s="29">
        <f t="shared" si="13"/>
        <v>0</v>
      </c>
      <c r="D153" s="7"/>
      <c r="E153" s="7"/>
      <c r="F153"/>
      <c r="G153"/>
      <c r="H153"/>
      <c r="I153"/>
      <c r="J153"/>
      <c r="K153"/>
      <c r="L153"/>
      <c r="M153"/>
      <c r="N153"/>
      <c r="O153"/>
      <c r="P153"/>
      <c r="Q153"/>
      <c r="R153"/>
      <c r="S153"/>
      <c r="T153"/>
      <c r="U153"/>
      <c r="V153"/>
      <c r="W153"/>
      <c r="X153"/>
      <c r="Y153"/>
      <c r="Z153"/>
      <c r="AA153"/>
      <c r="AB153"/>
      <c r="AC153"/>
      <c r="AD153"/>
      <c r="AE153" s="8"/>
      <c r="AG153" s="57">
        <f t="shared" si="14"/>
        <v>0</v>
      </c>
      <c r="AH153" s="127">
        <f t="shared" si="15"/>
        <v>0</v>
      </c>
    </row>
    <row r="154" spans="1:34" x14ac:dyDescent="0.2">
      <c r="A154" s="29">
        <f t="shared" si="13"/>
        <v>0</v>
      </c>
      <c r="D154" s="7"/>
      <c r="E154" s="7"/>
      <c r="F154"/>
      <c r="G154"/>
      <c r="H154"/>
      <c r="I154"/>
      <c r="J154"/>
      <c r="K154"/>
      <c r="L154"/>
      <c r="M154"/>
      <c r="N154"/>
      <c r="O154"/>
      <c r="P154"/>
      <c r="Q154"/>
      <c r="R154"/>
      <c r="S154"/>
      <c r="T154"/>
      <c r="U154"/>
      <c r="V154"/>
      <c r="W154"/>
      <c r="X154"/>
      <c r="Y154"/>
      <c r="Z154"/>
      <c r="AA154"/>
      <c r="AB154"/>
      <c r="AC154"/>
      <c r="AD154"/>
      <c r="AE154" s="8"/>
      <c r="AG154" s="57">
        <f t="shared" si="14"/>
        <v>0</v>
      </c>
      <c r="AH154" s="127">
        <f t="shared" si="15"/>
        <v>0</v>
      </c>
    </row>
    <row r="155" spans="1:34" x14ac:dyDescent="0.2">
      <c r="A155" s="29">
        <f t="shared" si="13"/>
        <v>0</v>
      </c>
      <c r="D155" s="7"/>
      <c r="E155" s="7"/>
      <c r="F155"/>
      <c r="G155"/>
      <c r="H155"/>
      <c r="I155"/>
      <c r="J155"/>
      <c r="K155"/>
      <c r="L155"/>
      <c r="M155"/>
      <c r="N155"/>
      <c r="O155"/>
      <c r="P155"/>
      <c r="Q155"/>
      <c r="R155"/>
      <c r="S155"/>
      <c r="T155"/>
      <c r="U155"/>
      <c r="V155"/>
      <c r="W155"/>
      <c r="X155"/>
      <c r="Y155"/>
      <c r="Z155"/>
      <c r="AA155"/>
      <c r="AB155"/>
      <c r="AC155"/>
      <c r="AD155"/>
      <c r="AE155" s="8"/>
      <c r="AG155" s="57">
        <f t="shared" si="14"/>
        <v>0</v>
      </c>
      <c r="AH155" s="127">
        <f t="shared" si="15"/>
        <v>0</v>
      </c>
    </row>
    <row r="156" spans="1:34" x14ac:dyDescent="0.2">
      <c r="A156" s="29">
        <f t="shared" si="13"/>
        <v>0</v>
      </c>
      <c r="D156" s="7"/>
      <c r="E156" s="7"/>
      <c r="F156"/>
      <c r="G156"/>
      <c r="H156"/>
      <c r="I156"/>
      <c r="J156"/>
      <c r="K156"/>
      <c r="L156"/>
      <c r="M156"/>
      <c r="N156"/>
      <c r="O156"/>
      <c r="P156"/>
      <c r="Q156"/>
      <c r="R156"/>
      <c r="S156"/>
      <c r="T156"/>
      <c r="U156"/>
      <c r="V156"/>
      <c r="W156"/>
      <c r="X156"/>
      <c r="Y156"/>
      <c r="Z156"/>
      <c r="AA156"/>
      <c r="AB156"/>
      <c r="AC156"/>
      <c r="AD156"/>
      <c r="AE156" s="8"/>
      <c r="AG156" s="57">
        <f t="shared" si="14"/>
        <v>0</v>
      </c>
      <c r="AH156" s="127">
        <f t="shared" si="15"/>
        <v>0</v>
      </c>
    </row>
    <row r="157" spans="1:34" x14ac:dyDescent="0.2">
      <c r="A157" s="29">
        <f t="shared" si="13"/>
        <v>0</v>
      </c>
      <c r="D157" s="7"/>
      <c r="E157" s="7"/>
      <c r="F157"/>
      <c r="G157"/>
      <c r="H157"/>
      <c r="I157"/>
      <c r="J157"/>
      <c r="K157"/>
      <c r="L157"/>
      <c r="M157"/>
      <c r="N157"/>
      <c r="O157"/>
      <c r="P157"/>
      <c r="Q157"/>
      <c r="R157"/>
      <c r="S157"/>
      <c r="T157"/>
      <c r="U157"/>
      <c r="V157"/>
      <c r="W157"/>
      <c r="X157"/>
      <c r="Y157"/>
      <c r="Z157"/>
      <c r="AA157"/>
      <c r="AB157"/>
      <c r="AC157"/>
      <c r="AD157"/>
      <c r="AE157" s="8"/>
      <c r="AG157" s="57">
        <f t="shared" si="14"/>
        <v>0</v>
      </c>
      <c r="AH157" s="127">
        <f t="shared" si="15"/>
        <v>0</v>
      </c>
    </row>
    <row r="158" spans="1:34" x14ac:dyDescent="0.2">
      <c r="A158" s="29">
        <f t="shared" si="13"/>
        <v>0</v>
      </c>
      <c r="D158" s="7"/>
      <c r="E158" s="7"/>
      <c r="F158"/>
      <c r="G158"/>
      <c r="H158"/>
      <c r="I158"/>
      <c r="J158"/>
      <c r="K158"/>
      <c r="L158"/>
      <c r="M158"/>
      <c r="N158"/>
      <c r="O158"/>
      <c r="P158"/>
      <c r="Q158"/>
      <c r="R158"/>
      <c r="S158"/>
      <c r="T158"/>
      <c r="U158"/>
      <c r="V158"/>
      <c r="W158"/>
      <c r="X158"/>
      <c r="Y158"/>
      <c r="Z158"/>
      <c r="AA158"/>
      <c r="AB158"/>
      <c r="AC158"/>
      <c r="AD158"/>
      <c r="AE158" s="8"/>
      <c r="AG158" s="57">
        <f t="shared" si="14"/>
        <v>0</v>
      </c>
      <c r="AH158" s="127">
        <f t="shared" si="15"/>
        <v>0</v>
      </c>
    </row>
    <row r="159" spans="1:34" x14ac:dyDescent="0.2">
      <c r="A159" s="29">
        <f t="shared" si="13"/>
        <v>0</v>
      </c>
      <c r="D159" s="7"/>
      <c r="E159" s="7"/>
      <c r="F159"/>
      <c r="G159"/>
      <c r="H159"/>
      <c r="I159"/>
      <c r="J159"/>
      <c r="K159"/>
      <c r="L159"/>
      <c r="M159"/>
      <c r="N159"/>
      <c r="O159"/>
      <c r="P159"/>
      <c r="Q159"/>
      <c r="R159"/>
      <c r="S159"/>
      <c r="T159"/>
      <c r="U159"/>
      <c r="V159"/>
      <c r="W159"/>
      <c r="X159"/>
      <c r="Y159"/>
      <c r="Z159"/>
      <c r="AA159"/>
      <c r="AB159"/>
      <c r="AC159"/>
      <c r="AD159"/>
      <c r="AE159" s="8"/>
      <c r="AG159" s="57">
        <f t="shared" si="14"/>
        <v>0</v>
      </c>
      <c r="AH159" s="127">
        <f t="shared" si="15"/>
        <v>0</v>
      </c>
    </row>
    <row r="160" spans="1:34" x14ac:dyDescent="0.2">
      <c r="A160" s="29">
        <f t="shared" si="13"/>
        <v>0</v>
      </c>
      <c r="D160" s="7"/>
      <c r="E160" s="7"/>
      <c r="F160"/>
      <c r="G160"/>
      <c r="H160"/>
      <c r="I160"/>
      <c r="J160"/>
      <c r="K160"/>
      <c r="L160"/>
      <c r="M160"/>
      <c r="N160"/>
      <c r="O160"/>
      <c r="P160"/>
      <c r="Q160"/>
      <c r="R160"/>
      <c r="S160"/>
      <c r="T160"/>
      <c r="U160"/>
      <c r="V160"/>
      <c r="W160"/>
      <c r="X160"/>
      <c r="Y160"/>
      <c r="Z160"/>
      <c r="AA160"/>
      <c r="AB160"/>
      <c r="AC160"/>
      <c r="AD160"/>
      <c r="AE160" s="8"/>
      <c r="AG160" s="57">
        <f t="shared" si="14"/>
        <v>0</v>
      </c>
      <c r="AH160" s="127">
        <f t="shared" si="15"/>
        <v>0</v>
      </c>
    </row>
    <row r="161" spans="1:34" x14ac:dyDescent="0.2">
      <c r="A161" s="29">
        <f t="shared" si="13"/>
        <v>0</v>
      </c>
      <c r="D161" s="7"/>
      <c r="E161" s="7"/>
      <c r="F161"/>
      <c r="G161"/>
      <c r="H161"/>
      <c r="I161"/>
      <c r="J161"/>
      <c r="K161"/>
      <c r="L161"/>
      <c r="M161"/>
      <c r="N161"/>
      <c r="O161"/>
      <c r="P161"/>
      <c r="Q161"/>
      <c r="R161"/>
      <c r="S161"/>
      <c r="T161"/>
      <c r="U161"/>
      <c r="V161"/>
      <c r="W161"/>
      <c r="X161"/>
      <c r="Y161"/>
      <c r="Z161"/>
      <c r="AA161"/>
      <c r="AB161"/>
      <c r="AC161"/>
      <c r="AD161"/>
      <c r="AE161" s="8"/>
      <c r="AG161" s="57">
        <f t="shared" si="14"/>
        <v>0</v>
      </c>
      <c r="AH161" s="127">
        <f t="shared" si="15"/>
        <v>0</v>
      </c>
    </row>
    <row r="162" spans="1:34" x14ac:dyDescent="0.2">
      <c r="A162" s="29">
        <f t="shared" si="13"/>
        <v>0</v>
      </c>
      <c r="D162" s="7"/>
      <c r="E162" s="7"/>
      <c r="F162"/>
      <c r="G162"/>
      <c r="H162"/>
      <c r="I162"/>
      <c r="J162"/>
      <c r="K162"/>
      <c r="L162"/>
      <c r="M162"/>
      <c r="N162"/>
      <c r="O162"/>
      <c r="P162"/>
      <c r="Q162"/>
      <c r="R162"/>
      <c r="S162"/>
      <c r="T162"/>
      <c r="U162"/>
      <c r="V162"/>
      <c r="W162"/>
      <c r="X162"/>
      <c r="Y162"/>
      <c r="Z162"/>
      <c r="AA162"/>
      <c r="AB162"/>
      <c r="AC162"/>
      <c r="AD162"/>
      <c r="AE162" s="8"/>
      <c r="AG162" s="57">
        <f t="shared" si="14"/>
        <v>0</v>
      </c>
      <c r="AH162" s="127">
        <f t="shared" si="15"/>
        <v>0</v>
      </c>
    </row>
    <row r="163" spans="1:34" x14ac:dyDescent="0.2">
      <c r="A163" s="29">
        <f t="shared" si="13"/>
        <v>0</v>
      </c>
      <c r="D163" s="7"/>
      <c r="E163" s="7"/>
      <c r="F163"/>
      <c r="G163"/>
      <c r="H163"/>
      <c r="I163"/>
      <c r="J163"/>
      <c r="K163"/>
      <c r="L163"/>
      <c r="M163"/>
      <c r="N163"/>
      <c r="O163"/>
      <c r="P163"/>
      <c r="Q163"/>
      <c r="R163"/>
      <c r="S163"/>
      <c r="T163"/>
      <c r="U163"/>
      <c r="V163"/>
      <c r="W163"/>
      <c r="X163"/>
      <c r="Y163"/>
      <c r="Z163"/>
      <c r="AA163"/>
      <c r="AB163"/>
      <c r="AC163"/>
      <c r="AD163"/>
      <c r="AE163" s="8"/>
      <c r="AG163" s="57">
        <f t="shared" si="14"/>
        <v>0</v>
      </c>
      <c r="AH163" s="127">
        <f t="shared" si="15"/>
        <v>0</v>
      </c>
    </row>
    <row r="164" spans="1:34" x14ac:dyDescent="0.2">
      <c r="A164" s="29">
        <f t="shared" si="13"/>
        <v>0</v>
      </c>
      <c r="D164" s="7"/>
      <c r="E164" s="7"/>
      <c r="F164"/>
      <c r="G164"/>
      <c r="H164"/>
      <c r="I164"/>
      <c r="J164"/>
      <c r="K164"/>
      <c r="L164"/>
      <c r="M164"/>
      <c r="N164"/>
      <c r="O164"/>
      <c r="P164"/>
      <c r="Q164"/>
      <c r="R164"/>
      <c r="S164"/>
      <c r="T164"/>
      <c r="U164"/>
      <c r="V164"/>
      <c r="W164"/>
      <c r="X164"/>
      <c r="Y164"/>
      <c r="Z164"/>
      <c r="AA164"/>
      <c r="AB164"/>
      <c r="AC164"/>
      <c r="AD164"/>
      <c r="AE164" s="8"/>
      <c r="AG164" s="57">
        <f t="shared" si="14"/>
        <v>0</v>
      </c>
      <c r="AH164" s="127">
        <f t="shared" si="15"/>
        <v>0</v>
      </c>
    </row>
    <row r="165" spans="1:34" x14ac:dyDescent="0.2">
      <c r="A165" s="29">
        <f t="shared" si="13"/>
        <v>0</v>
      </c>
      <c r="D165" s="7"/>
      <c r="E165" s="7"/>
      <c r="F165"/>
      <c r="G165"/>
      <c r="H165"/>
      <c r="I165"/>
      <c r="J165"/>
      <c r="K165"/>
      <c r="L165"/>
      <c r="M165"/>
      <c r="N165"/>
      <c r="O165"/>
      <c r="P165"/>
      <c r="Q165"/>
      <c r="R165"/>
      <c r="S165"/>
      <c r="T165"/>
      <c r="U165"/>
      <c r="V165"/>
      <c r="W165"/>
      <c r="X165"/>
      <c r="Y165"/>
      <c r="Z165"/>
      <c r="AA165"/>
      <c r="AB165"/>
      <c r="AC165"/>
      <c r="AD165"/>
      <c r="AE165" s="8"/>
      <c r="AG165" s="57">
        <f t="shared" si="14"/>
        <v>0</v>
      </c>
      <c r="AH165" s="127">
        <f t="shared" si="15"/>
        <v>0</v>
      </c>
    </row>
    <row r="166" spans="1:34" x14ac:dyDescent="0.2">
      <c r="A166" s="29">
        <f t="shared" si="13"/>
        <v>0</v>
      </c>
      <c r="D166" s="7"/>
      <c r="E166" s="7"/>
      <c r="F166"/>
      <c r="G166"/>
      <c r="H166"/>
      <c r="I166"/>
      <c r="J166"/>
      <c r="K166"/>
      <c r="L166"/>
      <c r="M166"/>
      <c r="N166"/>
      <c r="O166"/>
      <c r="P166"/>
      <c r="Q166"/>
      <c r="R166"/>
      <c r="S166"/>
      <c r="T166"/>
      <c r="U166"/>
      <c r="V166"/>
      <c r="W166"/>
      <c r="X166"/>
      <c r="Y166"/>
      <c r="Z166"/>
      <c r="AA166"/>
      <c r="AB166"/>
      <c r="AC166"/>
      <c r="AD166"/>
      <c r="AE166" s="8"/>
      <c r="AG166" s="57">
        <f t="shared" si="14"/>
        <v>0</v>
      </c>
      <c r="AH166" s="127">
        <f t="shared" si="15"/>
        <v>0</v>
      </c>
    </row>
    <row r="167" spans="1:34" x14ac:dyDescent="0.2">
      <c r="A167" s="29">
        <f t="shared" si="13"/>
        <v>0</v>
      </c>
      <c r="D167" s="7"/>
      <c r="E167" s="7"/>
      <c r="F167"/>
      <c r="G167"/>
      <c r="H167"/>
      <c r="I167"/>
      <c r="J167"/>
      <c r="K167"/>
      <c r="L167"/>
      <c r="M167"/>
      <c r="N167"/>
      <c r="O167"/>
      <c r="P167"/>
      <c r="Q167"/>
      <c r="R167"/>
      <c r="S167"/>
      <c r="T167"/>
      <c r="U167"/>
      <c r="V167"/>
      <c r="W167"/>
      <c r="X167"/>
      <c r="Y167"/>
      <c r="Z167"/>
      <c r="AA167"/>
      <c r="AB167"/>
      <c r="AC167"/>
      <c r="AD167"/>
      <c r="AE167" s="8"/>
      <c r="AG167" s="57">
        <f t="shared" si="14"/>
        <v>0</v>
      </c>
      <c r="AH167" s="127">
        <f t="shared" si="15"/>
        <v>0</v>
      </c>
    </row>
    <row r="168" spans="1:34" x14ac:dyDescent="0.2">
      <c r="A168" s="29">
        <f t="shared" si="13"/>
        <v>0</v>
      </c>
      <c r="D168" s="7"/>
      <c r="E168" s="7"/>
      <c r="F168"/>
      <c r="G168"/>
      <c r="H168"/>
      <c r="I168"/>
      <c r="J168"/>
      <c r="K168"/>
      <c r="L168"/>
      <c r="M168"/>
      <c r="N168"/>
      <c r="O168"/>
      <c r="P168"/>
      <c r="Q168"/>
      <c r="R168"/>
      <c r="S168"/>
      <c r="T168"/>
      <c r="U168"/>
      <c r="V168"/>
      <c r="W168"/>
      <c r="X168"/>
      <c r="Y168"/>
      <c r="Z168"/>
      <c r="AA168"/>
      <c r="AB168"/>
      <c r="AC168"/>
      <c r="AD168"/>
      <c r="AE168" s="8"/>
      <c r="AG168" s="57">
        <f t="shared" si="14"/>
        <v>0</v>
      </c>
      <c r="AH168" s="127">
        <f t="shared" si="15"/>
        <v>0</v>
      </c>
    </row>
    <row r="169" spans="1:34" x14ac:dyDescent="0.2">
      <c r="A169" s="29">
        <f t="shared" si="13"/>
        <v>0</v>
      </c>
      <c r="D169" s="7"/>
      <c r="E169" s="7"/>
      <c r="F169"/>
      <c r="G169"/>
      <c r="H169"/>
      <c r="I169"/>
      <c r="J169"/>
      <c r="K169"/>
      <c r="L169"/>
      <c r="M169"/>
      <c r="N169"/>
      <c r="O169"/>
      <c r="P169"/>
      <c r="Q169"/>
      <c r="R169"/>
      <c r="S169"/>
      <c r="T169"/>
      <c r="U169"/>
      <c r="V169"/>
      <c r="W169"/>
      <c r="X169"/>
      <c r="Y169"/>
      <c r="Z169"/>
      <c r="AA169"/>
      <c r="AB169"/>
      <c r="AC169"/>
      <c r="AD169"/>
      <c r="AE169" s="8"/>
      <c r="AG169" s="57">
        <f t="shared" si="14"/>
        <v>0</v>
      </c>
      <c r="AH169" s="127">
        <f t="shared" si="15"/>
        <v>0</v>
      </c>
    </row>
    <row r="170" spans="1:34" x14ac:dyDescent="0.2">
      <c r="A170" s="29">
        <f t="shared" si="13"/>
        <v>0</v>
      </c>
      <c r="D170" s="7"/>
      <c r="E170" s="7"/>
      <c r="F170"/>
      <c r="G170"/>
      <c r="H170"/>
      <c r="I170"/>
      <c r="J170"/>
      <c r="K170"/>
      <c r="L170"/>
      <c r="M170"/>
      <c r="N170"/>
      <c r="O170"/>
      <c r="P170"/>
      <c r="Q170"/>
      <c r="R170"/>
      <c r="S170"/>
      <c r="T170"/>
      <c r="U170"/>
      <c r="V170"/>
      <c r="W170"/>
      <c r="X170"/>
      <c r="Y170"/>
      <c r="Z170"/>
      <c r="AA170"/>
      <c r="AB170"/>
      <c r="AC170"/>
      <c r="AD170"/>
      <c r="AE170" s="8"/>
      <c r="AG170" s="57">
        <f t="shared" si="14"/>
        <v>0</v>
      </c>
      <c r="AH170" s="127">
        <f t="shared" si="15"/>
        <v>0</v>
      </c>
    </row>
    <row r="171" spans="1:34" x14ac:dyDescent="0.2">
      <c r="A171" s="29">
        <f t="shared" si="13"/>
        <v>0</v>
      </c>
      <c r="D171" s="7"/>
      <c r="E171" s="7"/>
      <c r="F171"/>
      <c r="G171"/>
      <c r="H171"/>
      <c r="I171"/>
      <c r="J171"/>
      <c r="K171"/>
      <c r="L171"/>
      <c r="M171"/>
      <c r="N171"/>
      <c r="O171"/>
      <c r="P171"/>
      <c r="Q171"/>
      <c r="R171"/>
      <c r="S171"/>
      <c r="T171"/>
      <c r="U171"/>
      <c r="V171"/>
      <c r="W171"/>
      <c r="X171"/>
      <c r="Y171"/>
      <c r="Z171"/>
      <c r="AA171"/>
      <c r="AB171"/>
      <c r="AC171"/>
      <c r="AD171"/>
      <c r="AE171" s="8"/>
      <c r="AG171" s="57">
        <f t="shared" si="14"/>
        <v>0</v>
      </c>
      <c r="AH171" s="127">
        <f t="shared" si="15"/>
        <v>0</v>
      </c>
    </row>
    <row r="172" spans="1:34" x14ac:dyDescent="0.2">
      <c r="A172" s="29">
        <f t="shared" si="13"/>
        <v>0</v>
      </c>
      <c r="D172" s="7"/>
      <c r="E172" s="7"/>
      <c r="F172"/>
      <c r="G172"/>
      <c r="H172"/>
      <c r="I172"/>
      <c r="J172"/>
      <c r="K172"/>
      <c r="L172"/>
      <c r="M172"/>
      <c r="N172"/>
      <c r="O172"/>
      <c r="P172"/>
      <c r="Q172"/>
      <c r="R172"/>
      <c r="S172"/>
      <c r="T172"/>
      <c r="U172"/>
      <c r="V172"/>
      <c r="W172"/>
      <c r="X172"/>
      <c r="Y172"/>
      <c r="Z172"/>
      <c r="AA172"/>
      <c r="AB172"/>
      <c r="AC172"/>
      <c r="AD172"/>
      <c r="AE172" s="8"/>
      <c r="AG172" s="57">
        <f t="shared" si="14"/>
        <v>0</v>
      </c>
      <c r="AH172" s="127">
        <f t="shared" si="15"/>
        <v>0</v>
      </c>
    </row>
    <row r="173" spans="1:34" x14ac:dyDescent="0.2">
      <c r="A173" s="29">
        <f t="shared" si="13"/>
        <v>0</v>
      </c>
      <c r="D173" s="7"/>
      <c r="E173" s="7"/>
      <c r="F173"/>
      <c r="G173"/>
      <c r="H173"/>
      <c r="I173"/>
      <c r="J173"/>
      <c r="K173"/>
      <c r="L173"/>
      <c r="M173"/>
      <c r="N173"/>
      <c r="O173"/>
      <c r="P173"/>
      <c r="Q173"/>
      <c r="R173"/>
      <c r="S173"/>
      <c r="T173"/>
      <c r="U173"/>
      <c r="V173"/>
      <c r="W173"/>
      <c r="X173"/>
      <c r="Y173"/>
      <c r="Z173"/>
      <c r="AA173"/>
      <c r="AB173"/>
      <c r="AC173"/>
      <c r="AD173"/>
      <c r="AE173" s="8"/>
      <c r="AG173" s="57">
        <f t="shared" si="14"/>
        <v>0</v>
      </c>
      <c r="AH173" s="127">
        <f t="shared" si="15"/>
        <v>0</v>
      </c>
    </row>
    <row r="174" spans="1:34" x14ac:dyDescent="0.2">
      <c r="A174" s="29">
        <f t="shared" si="13"/>
        <v>0</v>
      </c>
      <c r="D174" s="7"/>
      <c r="E174" s="7"/>
      <c r="F174"/>
      <c r="G174"/>
      <c r="H174"/>
      <c r="I174"/>
      <c r="J174"/>
      <c r="K174"/>
      <c r="L174"/>
      <c r="M174"/>
      <c r="N174"/>
      <c r="O174"/>
      <c r="P174"/>
      <c r="Q174"/>
      <c r="R174"/>
      <c r="S174"/>
      <c r="T174"/>
      <c r="U174"/>
      <c r="V174"/>
      <c r="W174"/>
      <c r="X174"/>
      <c r="Y174"/>
      <c r="Z174"/>
      <c r="AA174"/>
      <c r="AB174"/>
      <c r="AC174"/>
      <c r="AD174"/>
      <c r="AE174" s="8"/>
      <c r="AG174" s="57">
        <f t="shared" si="14"/>
        <v>0</v>
      </c>
      <c r="AH174" s="127">
        <f t="shared" si="15"/>
        <v>0</v>
      </c>
    </row>
    <row r="175" spans="1:34" x14ac:dyDescent="0.2">
      <c r="A175" s="29">
        <f t="shared" si="13"/>
        <v>0</v>
      </c>
      <c r="D175" s="7"/>
      <c r="E175" s="7"/>
      <c r="F175"/>
      <c r="G175"/>
      <c r="H175"/>
      <c r="I175"/>
      <c r="J175"/>
      <c r="K175"/>
      <c r="L175"/>
      <c r="M175"/>
      <c r="N175"/>
      <c r="O175"/>
      <c r="P175"/>
      <c r="Q175"/>
      <c r="R175"/>
      <c r="S175"/>
      <c r="T175"/>
      <c r="U175"/>
      <c r="V175"/>
      <c r="W175"/>
      <c r="X175"/>
      <c r="Y175"/>
      <c r="Z175"/>
      <c r="AA175"/>
      <c r="AB175"/>
      <c r="AC175"/>
      <c r="AD175"/>
      <c r="AE175" s="8"/>
      <c r="AG175" s="57">
        <f t="shared" si="14"/>
        <v>0</v>
      </c>
      <c r="AH175" s="127">
        <f t="shared" si="15"/>
        <v>0</v>
      </c>
    </row>
    <row r="176" spans="1:34" x14ac:dyDescent="0.2">
      <c r="A176" s="29">
        <f t="shared" si="13"/>
        <v>0</v>
      </c>
      <c r="D176" s="7"/>
      <c r="E176" s="7"/>
      <c r="F176"/>
      <c r="G176"/>
      <c r="H176"/>
      <c r="I176"/>
      <c r="J176"/>
      <c r="K176"/>
      <c r="L176"/>
      <c r="M176"/>
      <c r="N176"/>
      <c r="O176"/>
      <c r="P176"/>
      <c r="Q176"/>
      <c r="R176"/>
      <c r="S176"/>
      <c r="T176"/>
      <c r="U176"/>
      <c r="V176"/>
      <c r="W176"/>
      <c r="X176"/>
      <c r="Y176"/>
      <c r="Z176"/>
      <c r="AA176"/>
      <c r="AB176"/>
      <c r="AC176"/>
      <c r="AD176"/>
      <c r="AE176" s="8"/>
      <c r="AG176" s="57">
        <f t="shared" si="14"/>
        <v>0</v>
      </c>
      <c r="AH176" s="127">
        <f t="shared" si="15"/>
        <v>0</v>
      </c>
    </row>
    <row r="177" spans="1:34" x14ac:dyDescent="0.2">
      <c r="A177" s="29">
        <f t="shared" si="13"/>
        <v>0</v>
      </c>
      <c r="D177" s="7"/>
      <c r="E177" s="7"/>
      <c r="F177"/>
      <c r="G177"/>
      <c r="H177"/>
      <c r="I177"/>
      <c r="J177"/>
      <c r="K177"/>
      <c r="L177"/>
      <c r="M177"/>
      <c r="N177"/>
      <c r="O177"/>
      <c r="P177"/>
      <c r="Q177"/>
      <c r="R177"/>
      <c r="S177"/>
      <c r="T177"/>
      <c r="U177"/>
      <c r="V177"/>
      <c r="W177"/>
      <c r="X177"/>
      <c r="Y177"/>
      <c r="Z177"/>
      <c r="AA177"/>
      <c r="AB177"/>
      <c r="AC177"/>
      <c r="AD177"/>
      <c r="AE177" s="8"/>
      <c r="AG177" s="57">
        <f t="shared" si="14"/>
        <v>0</v>
      </c>
      <c r="AH177" s="127">
        <f t="shared" si="15"/>
        <v>0</v>
      </c>
    </row>
    <row r="178" spans="1:34" x14ac:dyDescent="0.2">
      <c r="A178" s="29">
        <f t="shared" si="13"/>
        <v>0</v>
      </c>
      <c r="D178" s="7"/>
      <c r="E178" s="7"/>
      <c r="F178"/>
      <c r="G178"/>
      <c r="H178"/>
      <c r="I178"/>
      <c r="J178"/>
      <c r="K178"/>
      <c r="L178"/>
      <c r="M178"/>
      <c r="N178"/>
      <c r="O178"/>
      <c r="P178"/>
      <c r="Q178"/>
      <c r="R178"/>
      <c r="S178"/>
      <c r="T178"/>
      <c r="U178"/>
      <c r="V178"/>
      <c r="W178"/>
      <c r="X178"/>
      <c r="Y178"/>
      <c r="Z178"/>
      <c r="AA178"/>
      <c r="AB178"/>
      <c r="AC178"/>
      <c r="AD178"/>
      <c r="AE178" s="8"/>
      <c r="AG178" s="57">
        <f t="shared" si="14"/>
        <v>0</v>
      </c>
      <c r="AH178" s="127">
        <f t="shared" si="15"/>
        <v>0</v>
      </c>
    </row>
    <row r="179" spans="1:34" x14ac:dyDescent="0.2">
      <c r="A179" s="29">
        <f t="shared" si="13"/>
        <v>0</v>
      </c>
      <c r="D179" s="7"/>
      <c r="E179" s="7"/>
      <c r="F179"/>
      <c r="G179"/>
      <c r="H179"/>
      <c r="I179"/>
      <c r="J179"/>
      <c r="K179"/>
      <c r="L179"/>
      <c r="M179"/>
      <c r="N179"/>
      <c r="O179"/>
      <c r="P179"/>
      <c r="Q179"/>
      <c r="R179"/>
      <c r="S179"/>
      <c r="T179"/>
      <c r="U179"/>
      <c r="V179"/>
      <c r="W179"/>
      <c r="X179"/>
      <c r="Y179"/>
      <c r="Z179"/>
      <c r="AA179"/>
      <c r="AB179"/>
      <c r="AC179"/>
      <c r="AD179"/>
      <c r="AE179" s="8"/>
      <c r="AG179" s="57">
        <f t="shared" si="14"/>
        <v>0</v>
      </c>
      <c r="AH179" s="127">
        <f t="shared" si="15"/>
        <v>0</v>
      </c>
    </row>
    <row r="180" spans="1:34" x14ac:dyDescent="0.2">
      <c r="A180" s="29">
        <f t="shared" si="13"/>
        <v>0</v>
      </c>
      <c r="D180" s="7"/>
      <c r="E180" s="7"/>
      <c r="F180"/>
      <c r="G180"/>
      <c r="H180"/>
      <c r="I180"/>
      <c r="J180"/>
      <c r="K180"/>
      <c r="L180"/>
      <c r="M180"/>
      <c r="N180"/>
      <c r="O180"/>
      <c r="P180"/>
      <c r="Q180"/>
      <c r="R180"/>
      <c r="S180"/>
      <c r="T180"/>
      <c r="U180"/>
      <c r="V180"/>
      <c r="W180"/>
      <c r="X180"/>
      <c r="Y180"/>
      <c r="Z180"/>
      <c r="AA180"/>
      <c r="AB180"/>
      <c r="AC180"/>
      <c r="AD180"/>
      <c r="AE180" s="8"/>
      <c r="AG180" s="57">
        <f t="shared" si="14"/>
        <v>0</v>
      </c>
      <c r="AH180" s="127">
        <f t="shared" si="15"/>
        <v>0</v>
      </c>
    </row>
    <row r="181" spans="1:34" x14ac:dyDescent="0.2">
      <c r="A181" s="29">
        <f t="shared" si="13"/>
        <v>0</v>
      </c>
      <c r="D181" s="7"/>
      <c r="E181" s="7"/>
      <c r="F181"/>
      <c r="G181"/>
      <c r="H181"/>
      <c r="I181"/>
      <c r="J181"/>
      <c r="K181"/>
      <c r="L181"/>
      <c r="M181"/>
      <c r="N181"/>
      <c r="O181"/>
      <c r="P181"/>
      <c r="Q181"/>
      <c r="R181"/>
      <c r="S181"/>
      <c r="T181"/>
      <c r="U181"/>
      <c r="V181"/>
      <c r="W181"/>
      <c r="X181"/>
      <c r="Y181"/>
      <c r="Z181"/>
      <c r="AA181"/>
      <c r="AB181"/>
      <c r="AC181"/>
      <c r="AD181"/>
      <c r="AE181" s="8"/>
      <c r="AG181" s="57">
        <f t="shared" si="14"/>
        <v>0</v>
      </c>
      <c r="AH181" s="127">
        <f t="shared" si="15"/>
        <v>0</v>
      </c>
    </row>
    <row r="182" spans="1:34" x14ac:dyDescent="0.2">
      <c r="A182" s="29">
        <f t="shared" si="13"/>
        <v>0</v>
      </c>
      <c r="D182" s="7"/>
      <c r="E182" s="7"/>
      <c r="F182"/>
      <c r="G182"/>
      <c r="H182"/>
      <c r="I182"/>
      <c r="J182"/>
      <c r="K182"/>
      <c r="L182"/>
      <c r="M182"/>
      <c r="N182"/>
      <c r="O182"/>
      <c r="P182"/>
      <c r="Q182"/>
      <c r="R182"/>
      <c r="S182"/>
      <c r="T182"/>
      <c r="U182"/>
      <c r="V182"/>
      <c r="W182"/>
      <c r="X182"/>
      <c r="Y182"/>
      <c r="Z182"/>
      <c r="AA182"/>
      <c r="AB182"/>
      <c r="AC182"/>
      <c r="AD182"/>
      <c r="AE182" s="8"/>
      <c r="AG182" s="57">
        <f t="shared" si="14"/>
        <v>0</v>
      </c>
      <c r="AH182" s="127">
        <f t="shared" si="15"/>
        <v>0</v>
      </c>
    </row>
    <row r="183" spans="1:34" x14ac:dyDescent="0.2">
      <c r="A183" s="29">
        <f t="shared" si="13"/>
        <v>0</v>
      </c>
      <c r="D183" s="7"/>
      <c r="E183" s="7"/>
      <c r="F183"/>
      <c r="G183"/>
      <c r="H183"/>
      <c r="I183"/>
      <c r="J183"/>
      <c r="K183"/>
      <c r="L183"/>
      <c r="M183"/>
      <c r="N183"/>
      <c r="O183"/>
      <c r="P183"/>
      <c r="Q183"/>
      <c r="R183"/>
      <c r="S183"/>
      <c r="T183"/>
      <c r="U183"/>
      <c r="V183"/>
      <c r="W183"/>
      <c r="X183"/>
      <c r="Y183"/>
      <c r="Z183"/>
      <c r="AA183"/>
      <c r="AB183"/>
      <c r="AC183"/>
      <c r="AD183"/>
      <c r="AE183" s="8"/>
      <c r="AG183" s="57">
        <f t="shared" si="14"/>
        <v>0</v>
      </c>
      <c r="AH183" s="127">
        <f t="shared" si="15"/>
        <v>0</v>
      </c>
    </row>
    <row r="184" spans="1:34" x14ac:dyDescent="0.2">
      <c r="A184" s="29">
        <f t="shared" si="13"/>
        <v>0</v>
      </c>
      <c r="D184" s="7"/>
      <c r="E184" s="7"/>
      <c r="F184"/>
      <c r="G184"/>
      <c r="H184"/>
      <c r="I184"/>
      <c r="J184"/>
      <c r="K184"/>
      <c r="L184"/>
      <c r="M184"/>
      <c r="N184"/>
      <c r="O184"/>
      <c r="P184"/>
      <c r="Q184"/>
      <c r="R184"/>
      <c r="S184"/>
      <c r="T184"/>
      <c r="U184"/>
      <c r="V184"/>
      <c r="W184"/>
      <c r="X184"/>
      <c r="Y184"/>
      <c r="Z184"/>
      <c r="AA184"/>
      <c r="AB184"/>
      <c r="AC184"/>
      <c r="AD184"/>
      <c r="AE184" s="8"/>
      <c r="AG184" s="57">
        <f t="shared" si="14"/>
        <v>0</v>
      </c>
      <c r="AH184" s="127">
        <f t="shared" si="15"/>
        <v>0</v>
      </c>
    </row>
    <row r="185" spans="1:34" x14ac:dyDescent="0.2">
      <c r="A185" s="29">
        <f t="shared" si="13"/>
        <v>0</v>
      </c>
      <c r="D185" s="7"/>
      <c r="E185" s="7"/>
      <c r="F185"/>
      <c r="G185"/>
      <c r="H185"/>
      <c r="I185"/>
      <c r="J185"/>
      <c r="K185"/>
      <c r="L185"/>
      <c r="M185"/>
      <c r="N185"/>
      <c r="O185"/>
      <c r="P185"/>
      <c r="Q185"/>
      <c r="R185"/>
      <c r="S185"/>
      <c r="T185"/>
      <c r="U185"/>
      <c r="V185"/>
      <c r="W185"/>
      <c r="X185"/>
      <c r="Y185"/>
      <c r="Z185"/>
      <c r="AA185"/>
      <c r="AB185"/>
      <c r="AC185"/>
      <c r="AD185"/>
      <c r="AE185" s="8"/>
      <c r="AG185" s="57">
        <f t="shared" si="14"/>
        <v>0</v>
      </c>
      <c r="AH185" s="127">
        <f t="shared" si="15"/>
        <v>0</v>
      </c>
    </row>
    <row r="186" spans="1:34" x14ac:dyDescent="0.2">
      <c r="A186" s="29">
        <f t="shared" si="13"/>
        <v>0</v>
      </c>
      <c r="D186" s="7"/>
      <c r="E186" s="7"/>
      <c r="F186"/>
      <c r="G186"/>
      <c r="H186"/>
      <c r="I186"/>
      <c r="J186"/>
      <c r="K186"/>
      <c r="L186"/>
      <c r="M186"/>
      <c r="N186"/>
      <c r="O186"/>
      <c r="P186"/>
      <c r="Q186"/>
      <c r="R186"/>
      <c r="S186"/>
      <c r="T186"/>
      <c r="U186"/>
      <c r="V186"/>
      <c r="W186"/>
      <c r="X186"/>
      <c r="Y186"/>
      <c r="Z186"/>
      <c r="AA186"/>
      <c r="AB186"/>
      <c r="AC186"/>
      <c r="AD186"/>
      <c r="AE186" s="8"/>
      <c r="AG186" s="57">
        <f t="shared" si="14"/>
        <v>0</v>
      </c>
      <c r="AH186" s="127">
        <f t="shared" si="15"/>
        <v>0</v>
      </c>
    </row>
    <row r="187" spans="1:34" x14ac:dyDescent="0.2">
      <c r="A187" s="29">
        <f t="shared" si="13"/>
        <v>0</v>
      </c>
      <c r="D187" s="7"/>
      <c r="E187" s="7"/>
      <c r="F187"/>
      <c r="G187"/>
      <c r="H187"/>
      <c r="I187"/>
      <c r="J187"/>
      <c r="K187"/>
      <c r="L187"/>
      <c r="M187"/>
      <c r="N187"/>
      <c r="O187"/>
      <c r="P187"/>
      <c r="Q187"/>
      <c r="R187"/>
      <c r="S187"/>
      <c r="T187"/>
      <c r="U187"/>
      <c r="V187"/>
      <c r="W187"/>
      <c r="X187"/>
      <c r="Y187"/>
      <c r="Z187"/>
      <c r="AA187"/>
      <c r="AB187"/>
      <c r="AC187"/>
      <c r="AD187"/>
      <c r="AE187" s="8"/>
      <c r="AG187" s="57">
        <f t="shared" si="14"/>
        <v>0</v>
      </c>
      <c r="AH187" s="127">
        <f t="shared" si="15"/>
        <v>0</v>
      </c>
    </row>
    <row r="188" spans="1:34" x14ac:dyDescent="0.2">
      <c r="A188" s="29">
        <f t="shared" si="13"/>
        <v>0</v>
      </c>
      <c r="D188" s="7"/>
      <c r="E188" s="7"/>
      <c r="F188"/>
      <c r="G188"/>
      <c r="H188"/>
      <c r="I188"/>
      <c r="J188"/>
      <c r="K188"/>
      <c r="L188"/>
      <c r="M188"/>
      <c r="N188"/>
      <c r="O188"/>
      <c r="P188"/>
      <c r="Q188"/>
      <c r="R188"/>
      <c r="S188"/>
      <c r="T188"/>
      <c r="U188"/>
      <c r="V188"/>
      <c r="W188"/>
      <c r="X188"/>
      <c r="Y188"/>
      <c r="Z188"/>
      <c r="AA188"/>
      <c r="AB188"/>
      <c r="AC188"/>
      <c r="AD188"/>
      <c r="AE188" s="8"/>
      <c r="AG188" s="57">
        <f t="shared" si="14"/>
        <v>0</v>
      </c>
      <c r="AH188" s="127">
        <f t="shared" si="15"/>
        <v>0</v>
      </c>
    </row>
    <row r="189" spans="1:34" x14ac:dyDescent="0.2">
      <c r="A189" s="30">
        <f t="shared" si="13"/>
        <v>0</v>
      </c>
      <c r="D189" s="21"/>
      <c r="E189" s="21"/>
      <c r="F189" s="47"/>
      <c r="G189" s="47"/>
      <c r="H189" s="47"/>
      <c r="I189" s="47"/>
      <c r="J189" s="47"/>
      <c r="K189" s="47"/>
      <c r="L189" s="47"/>
      <c r="M189" s="47"/>
      <c r="N189" s="47"/>
      <c r="O189" s="47"/>
      <c r="P189" s="47"/>
      <c r="Q189" s="47"/>
      <c r="R189" s="47"/>
      <c r="S189" s="47"/>
      <c r="T189" s="47"/>
      <c r="U189" s="47"/>
      <c r="V189" s="47"/>
      <c r="W189" s="47"/>
      <c r="X189" s="47"/>
      <c r="Y189" s="47"/>
      <c r="Z189" s="47"/>
      <c r="AA189" s="47"/>
      <c r="AB189" s="47"/>
      <c r="AC189" s="47"/>
      <c r="AD189" s="47"/>
      <c r="AE189" s="6"/>
      <c r="AG189" s="58">
        <f t="shared" si="14"/>
        <v>0</v>
      </c>
      <c r="AH189" s="128">
        <f t="shared" si="15"/>
        <v>0</v>
      </c>
    </row>
    <row r="192" spans="1:34" s="11" customFormat="1" ht="30" customHeight="1" x14ac:dyDescent="0.2"/>
  </sheetData>
  <mergeCells count="2">
    <mergeCell ref="A65:C65"/>
    <mergeCell ref="A128:C128"/>
  </mergeCells>
  <conditionalFormatting sqref="E35 C4:C63 F4:F63">
    <cfRule type="cellIs" dxfId="9" priority="12" operator="equal">
      <formula>$K$5</formula>
    </cfRule>
  </conditionalFormatting>
  <conditionalFormatting sqref="BY67:BY126 I4:I63">
    <cfRule type="cellIs" dxfId="8" priority="7" operator="lessThan">
      <formula>49%</formula>
    </cfRule>
    <cfRule type="cellIs" dxfId="7" priority="8" operator="between">
      <formula>50%</formula>
      <formula>64%</formula>
    </cfRule>
    <cfRule type="cellIs" dxfId="6" priority="9" operator="between">
      <formula>65%</formula>
      <formula>79%</formula>
    </cfRule>
    <cfRule type="cellIs" dxfId="5" priority="10" operator="greaterThan">
      <formula>79.9%</formula>
    </cfRule>
  </conditionalFormatting>
  <conditionalFormatting sqref="AM79:AX79 AZ79 C4:C63 F4:F63">
    <cfRule type="cellIs" dxfId="4" priority="11" operator="equal">
      <formula>$K$6</formula>
    </cfRule>
  </conditionalFormatting>
  <conditionalFormatting sqref="AH130:AH189">
    <cfRule type="cellIs" dxfId="3" priority="1" operator="lessThan">
      <formula>49%</formula>
    </cfRule>
    <cfRule type="cellIs" dxfId="2" priority="2" operator="between">
      <formula>50%</formula>
      <formula>64%</formula>
    </cfRule>
    <cfRule type="cellIs" dxfId="1" priority="3" operator="between">
      <formula>65%</formula>
      <formula>79%</formula>
    </cfRule>
    <cfRule type="cellIs" dxfId="0" priority="4" operator="greaterThan">
      <formula>79.9%</formula>
    </cfRule>
  </conditionalFormatting>
  <dataValidations count="1">
    <dataValidation type="list" allowBlank="1" showInputMessage="1" showErrorMessage="1" sqref="C4:C63 F4:F63" xr:uid="{281DB9FE-1F03-5F4F-B68C-5DF3443B88FF}">
      <formula1>$K$5:$K$6</formula1>
    </dataValidation>
  </dataValidations>
  <hyperlinks>
    <hyperlink ref="C3" location="gradeSheet!A65" display="Section 1 Submit?" xr:uid="{94174947-557E-EC44-8F2C-271C49BDA5F3}"/>
  </hyperlinks>
  <pageMargins left="0.5" right="0.5" top="0.5" bottom="0.5" header="0.3" footer="0.3"/>
  <pageSetup paperSize="9" scale="59" fitToHeight="0"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G220"/>
  <sheetViews>
    <sheetView view="pageLayout" zoomScaleNormal="100" workbookViewId="0">
      <selection activeCell="G6" sqref="G6:G11"/>
    </sheetView>
  </sheetViews>
  <sheetFormatPr baseColWidth="10" defaultColWidth="10.6640625" defaultRowHeight="15" x14ac:dyDescent="0.2"/>
  <cols>
    <col min="1" max="4" width="10.6640625" style="1"/>
    <col min="5" max="5" width="7.33203125" style="1" customWidth="1"/>
    <col min="6" max="7" width="14.33203125" style="1" customWidth="1"/>
    <col min="8" max="16384" width="10.6640625" style="1"/>
  </cols>
  <sheetData>
    <row r="1" spans="1:7" ht="16" x14ac:dyDescent="0.2">
      <c r="A1" s="145" t="s">
        <v>96</v>
      </c>
      <c r="B1" s="146"/>
      <c r="C1" s="146"/>
      <c r="D1" s="146"/>
      <c r="E1" s="147"/>
      <c r="F1" s="148" t="s">
        <v>97</v>
      </c>
      <c r="G1" s="149"/>
    </row>
    <row r="2" spans="1:7" x14ac:dyDescent="0.2">
      <c r="A2" s="150" t="s">
        <v>98</v>
      </c>
      <c r="B2" s="151"/>
      <c r="C2" s="151"/>
      <c r="D2" s="151"/>
      <c r="E2" s="152"/>
      <c r="F2" s="153"/>
      <c r="G2" s="154"/>
    </row>
    <row r="3" spans="1:7" ht="16" x14ac:dyDescent="0.2">
      <c r="A3" s="145" t="s">
        <v>99</v>
      </c>
      <c r="B3" s="155"/>
      <c r="C3" s="155"/>
      <c r="D3" s="155"/>
      <c r="E3" s="155"/>
      <c r="F3" s="156" t="s">
        <v>21</v>
      </c>
      <c r="G3" s="156" t="s">
        <v>22</v>
      </c>
    </row>
    <row r="4" spans="1:7" x14ac:dyDescent="0.2">
      <c r="A4" s="158" t="s">
        <v>100</v>
      </c>
      <c r="B4" s="159"/>
      <c r="C4" s="159"/>
      <c r="D4" s="159"/>
      <c r="E4" s="159"/>
      <c r="F4" s="157"/>
      <c r="G4" s="157"/>
    </row>
    <row r="5" spans="1:7" x14ac:dyDescent="0.2">
      <c r="A5" s="68" t="s">
        <v>101</v>
      </c>
      <c r="B5" s="69"/>
      <c r="C5" s="69"/>
      <c r="D5" s="69"/>
      <c r="E5" s="70"/>
      <c r="F5" s="70"/>
      <c r="G5" s="71"/>
    </row>
    <row r="6" spans="1:7" x14ac:dyDescent="0.2">
      <c r="A6" s="7"/>
      <c r="B6"/>
      <c r="C6"/>
      <c r="D6"/>
      <c r="E6" s="8"/>
      <c r="F6" s="139">
        <v>5</v>
      </c>
      <c r="G6" s="139"/>
    </row>
    <row r="7" spans="1:7" ht="16" x14ac:dyDescent="0.2">
      <c r="A7" s="72" t="s">
        <v>102</v>
      </c>
      <c r="B7" s="66"/>
      <c r="C7" s="3"/>
      <c r="D7" s="3"/>
      <c r="E7" s="73"/>
      <c r="F7" s="137"/>
      <c r="G7" s="137"/>
    </row>
    <row r="8" spans="1:7" ht="16" x14ac:dyDescent="0.2">
      <c r="A8" s="74" t="s">
        <v>20</v>
      </c>
      <c r="B8" t="s">
        <v>103</v>
      </c>
      <c r="C8"/>
      <c r="D8" s="42"/>
      <c r="E8" s="43"/>
      <c r="F8" s="137"/>
      <c r="G8" s="137"/>
    </row>
    <row r="9" spans="1:7" ht="16" x14ac:dyDescent="0.2">
      <c r="A9" s="74" t="s">
        <v>20</v>
      </c>
      <c r="B9" s="140" t="s">
        <v>104</v>
      </c>
      <c r="C9" s="140"/>
      <c r="D9" s="140"/>
      <c r="E9" s="141"/>
      <c r="F9" s="137"/>
      <c r="G9" s="137"/>
    </row>
    <row r="10" spans="1:7" ht="16" x14ac:dyDescent="0.2">
      <c r="A10" s="74"/>
      <c r="B10" s="140"/>
      <c r="C10" s="140"/>
      <c r="D10" s="140"/>
      <c r="E10" s="141"/>
      <c r="F10" s="137"/>
      <c r="G10" s="137"/>
    </row>
    <row r="11" spans="1:7" ht="16" x14ac:dyDescent="0.2">
      <c r="A11" s="75"/>
      <c r="B11" s="76"/>
      <c r="C11" s="76"/>
      <c r="D11" s="76"/>
      <c r="E11" s="77"/>
      <c r="F11" s="138"/>
      <c r="G11" s="138"/>
    </row>
    <row r="12" spans="1:7" ht="16" x14ac:dyDescent="0.2">
      <c r="A12" s="74"/>
      <c r="B12" s="78"/>
      <c r="C12" s="78"/>
      <c r="D12" s="78"/>
      <c r="E12" s="79"/>
      <c r="F12" s="139">
        <v>30</v>
      </c>
      <c r="G12" s="139"/>
    </row>
    <row r="13" spans="1:7" ht="16" x14ac:dyDescent="0.2">
      <c r="A13" s="80" t="s">
        <v>105</v>
      </c>
      <c r="B13" s="78"/>
      <c r="C13" s="78"/>
      <c r="D13" s="78"/>
      <c r="E13" s="79"/>
      <c r="F13" s="137"/>
      <c r="G13" s="137"/>
    </row>
    <row r="14" spans="1:7" ht="16" x14ac:dyDescent="0.2">
      <c r="A14" s="74" t="s">
        <v>20</v>
      </c>
      <c r="B14" t="s">
        <v>106</v>
      </c>
      <c r="C14" s="81"/>
      <c r="D14" s="81"/>
      <c r="E14" s="82"/>
      <c r="F14" s="137"/>
      <c r="G14" s="137"/>
    </row>
    <row r="15" spans="1:7" ht="16" x14ac:dyDescent="0.2">
      <c r="A15" s="74" t="s">
        <v>20</v>
      </c>
      <c r="B15" s="81" t="s">
        <v>107</v>
      </c>
      <c r="C15" s="81"/>
      <c r="D15" s="81"/>
      <c r="E15" s="82"/>
      <c r="F15" s="137"/>
      <c r="G15" s="137"/>
    </row>
    <row r="16" spans="1:7" ht="16" x14ac:dyDescent="0.2">
      <c r="A16" s="74" t="s">
        <v>20</v>
      </c>
      <c r="B16" s="81" t="s">
        <v>108</v>
      </c>
      <c r="C16" s="81"/>
      <c r="D16" s="81"/>
      <c r="E16" s="82"/>
      <c r="F16" s="137"/>
      <c r="G16" s="137"/>
    </row>
    <row r="17" spans="1:7" ht="16" x14ac:dyDescent="0.2">
      <c r="A17" s="74" t="s">
        <v>20</v>
      </c>
      <c r="B17" s="140" t="s">
        <v>109</v>
      </c>
      <c r="C17" s="140"/>
      <c r="D17" s="140"/>
      <c r="E17" s="141"/>
      <c r="F17" s="137"/>
      <c r="G17" s="137"/>
    </row>
    <row r="18" spans="1:7" ht="16" x14ac:dyDescent="0.2">
      <c r="A18" s="74"/>
      <c r="B18" s="140"/>
      <c r="C18" s="140"/>
      <c r="D18" s="140"/>
      <c r="E18" s="141"/>
      <c r="F18" s="137"/>
      <c r="G18" s="137"/>
    </row>
    <row r="19" spans="1:7" ht="16" x14ac:dyDescent="0.2">
      <c r="A19" s="75"/>
      <c r="B19" s="83"/>
      <c r="C19" s="83"/>
      <c r="D19" s="83"/>
      <c r="E19" s="84"/>
      <c r="F19" s="138"/>
      <c r="G19" s="138"/>
    </row>
    <row r="20" spans="1:7" ht="16" x14ac:dyDescent="0.2">
      <c r="A20" s="80"/>
      <c r="B20" s="81"/>
      <c r="C20" s="81"/>
      <c r="D20" s="81"/>
      <c r="E20" s="82"/>
      <c r="F20" s="139">
        <v>10</v>
      </c>
      <c r="G20" s="139"/>
    </row>
    <row r="21" spans="1:7" ht="16" x14ac:dyDescent="0.2">
      <c r="A21" s="80" t="s">
        <v>110</v>
      </c>
      <c r="B21" s="81"/>
      <c r="C21" s="81"/>
      <c r="D21" s="81"/>
      <c r="E21" s="82"/>
      <c r="F21" s="137"/>
      <c r="G21" s="137"/>
    </row>
    <row r="22" spans="1:7" ht="16" x14ac:dyDescent="0.2">
      <c r="A22" s="74" t="s">
        <v>20</v>
      </c>
      <c r="B22" s="140" t="s">
        <v>111</v>
      </c>
      <c r="C22" s="140"/>
      <c r="D22" s="140"/>
      <c r="E22" s="141"/>
      <c r="F22" s="137"/>
      <c r="G22" s="137"/>
    </row>
    <row r="23" spans="1:7" ht="16" x14ac:dyDescent="0.2">
      <c r="A23" s="80"/>
      <c r="B23" s="140"/>
      <c r="C23" s="140"/>
      <c r="D23" s="140"/>
      <c r="E23" s="141"/>
      <c r="F23" s="137"/>
      <c r="G23" s="137"/>
    </row>
    <row r="24" spans="1:7" ht="16" x14ac:dyDescent="0.2">
      <c r="A24" s="74" t="s">
        <v>20</v>
      </c>
      <c r="B24" s="140" t="s">
        <v>112</v>
      </c>
      <c r="C24" s="140"/>
      <c r="D24" s="140"/>
      <c r="E24" s="141"/>
      <c r="F24" s="137"/>
      <c r="G24" s="137"/>
    </row>
    <row r="25" spans="1:7" ht="16" x14ac:dyDescent="0.2">
      <c r="A25" s="80"/>
      <c r="B25" s="140"/>
      <c r="C25" s="140"/>
      <c r="D25" s="140"/>
      <c r="E25" s="141"/>
      <c r="F25" s="137"/>
      <c r="G25" s="137"/>
    </row>
    <row r="26" spans="1:7" ht="16" x14ac:dyDescent="0.2">
      <c r="A26" s="85"/>
      <c r="B26" s="83"/>
      <c r="C26" s="83"/>
      <c r="D26" s="83"/>
      <c r="E26" s="84"/>
      <c r="F26" s="138"/>
      <c r="G26" s="138"/>
    </row>
    <row r="27" spans="1:7" ht="16" x14ac:dyDescent="0.2">
      <c r="A27" s="80"/>
      <c r="B27" s="81"/>
      <c r="C27" s="81"/>
      <c r="D27" s="81"/>
      <c r="E27" s="82"/>
      <c r="F27" s="139">
        <v>15</v>
      </c>
      <c r="G27" s="139"/>
    </row>
    <row r="28" spans="1:7" ht="16" x14ac:dyDescent="0.2">
      <c r="A28" s="80" t="s">
        <v>113</v>
      </c>
      <c r="B28" s="81"/>
      <c r="C28" s="81"/>
      <c r="D28" s="81"/>
      <c r="E28" s="82"/>
      <c r="F28" s="137"/>
      <c r="G28" s="137"/>
    </row>
    <row r="29" spans="1:7" ht="16" x14ac:dyDescent="0.2">
      <c r="A29" s="74" t="s">
        <v>20</v>
      </c>
      <c r="B29" s="81" t="s">
        <v>114</v>
      </c>
      <c r="C29" s="81"/>
      <c r="D29" s="81"/>
      <c r="E29" s="82"/>
      <c r="F29" s="137"/>
      <c r="G29" s="137"/>
    </row>
    <row r="30" spans="1:7" ht="16" x14ac:dyDescent="0.2">
      <c r="A30" s="74" t="s">
        <v>20</v>
      </c>
      <c r="B30" s="140" t="s">
        <v>112</v>
      </c>
      <c r="C30" s="140"/>
      <c r="D30" s="140"/>
      <c r="E30" s="141"/>
      <c r="F30" s="137"/>
      <c r="G30" s="137"/>
    </row>
    <row r="31" spans="1:7" ht="16" x14ac:dyDescent="0.2">
      <c r="A31" s="80"/>
      <c r="B31" s="140"/>
      <c r="C31" s="140"/>
      <c r="D31" s="140"/>
      <c r="E31" s="141"/>
      <c r="F31" s="137"/>
      <c r="G31" s="137"/>
    </row>
    <row r="32" spans="1:7" ht="16" x14ac:dyDescent="0.2">
      <c r="A32" s="85"/>
      <c r="B32" s="83"/>
      <c r="C32" s="83"/>
      <c r="D32" s="83"/>
      <c r="E32" s="84"/>
      <c r="F32" s="138"/>
      <c r="G32" s="138"/>
    </row>
    <row r="33" spans="1:7" ht="16" x14ac:dyDescent="0.2">
      <c r="A33" s="80"/>
      <c r="B33" s="81"/>
      <c r="C33" s="81"/>
      <c r="D33" s="81"/>
      <c r="E33" s="82"/>
      <c r="F33" s="139">
        <v>10</v>
      </c>
      <c r="G33" s="139"/>
    </row>
    <row r="34" spans="1:7" ht="16" x14ac:dyDescent="0.2">
      <c r="A34" s="80" t="s">
        <v>115</v>
      </c>
      <c r="B34" s="81"/>
      <c r="C34" s="81"/>
      <c r="D34" s="81"/>
      <c r="E34" s="82"/>
      <c r="F34" s="137"/>
      <c r="G34" s="137"/>
    </row>
    <row r="35" spans="1:7" s="2" customFormat="1" ht="16" x14ac:dyDescent="0.2">
      <c r="A35" s="74" t="s">
        <v>20</v>
      </c>
      <c r="B35" s="140" t="s">
        <v>116</v>
      </c>
      <c r="C35" s="140"/>
      <c r="D35" s="140"/>
      <c r="E35" s="141"/>
      <c r="F35" s="137"/>
      <c r="G35" s="137"/>
    </row>
    <row r="36" spans="1:7" s="2" customFormat="1" ht="16" x14ac:dyDescent="0.2">
      <c r="A36" s="80"/>
      <c r="B36" s="140"/>
      <c r="C36" s="140"/>
      <c r="D36" s="140"/>
      <c r="E36" s="141"/>
      <c r="F36" s="137"/>
      <c r="G36" s="137"/>
    </row>
    <row r="37" spans="1:7" ht="16" x14ac:dyDescent="0.2">
      <c r="A37" s="80"/>
      <c r="B37" s="81"/>
      <c r="C37" s="81"/>
      <c r="D37" s="81"/>
      <c r="E37" s="82"/>
      <c r="F37" s="138"/>
      <c r="G37" s="138"/>
    </row>
    <row r="38" spans="1:7" x14ac:dyDescent="0.2">
      <c r="A38" s="160" t="s">
        <v>117</v>
      </c>
      <c r="B38" s="161"/>
      <c r="C38" s="161"/>
      <c r="D38" s="161"/>
      <c r="E38" s="161"/>
      <c r="F38" s="162">
        <v>70</v>
      </c>
      <c r="G38" s="139">
        <f>SUM(G6,G12,G20,G27,G33)</f>
        <v>0</v>
      </c>
    </row>
    <row r="39" spans="1:7" x14ac:dyDescent="0.2">
      <c r="A39" s="133"/>
      <c r="B39" s="134"/>
      <c r="C39" s="134"/>
      <c r="D39" s="134"/>
      <c r="E39" s="134"/>
      <c r="F39" s="136"/>
      <c r="G39" s="138"/>
    </row>
    <row r="40" spans="1:7" x14ac:dyDescent="0.2">
      <c r="A40"/>
      <c r="B40"/>
      <c r="C40"/>
      <c r="D40"/>
      <c r="E40"/>
      <c r="F40"/>
      <c r="G40"/>
    </row>
    <row r="41" spans="1:7" x14ac:dyDescent="0.2">
      <c r="A41" t="s">
        <v>118</v>
      </c>
      <c r="B41"/>
      <c r="C41"/>
      <c r="D41"/>
      <c r="E41"/>
      <c r="F41" t="s">
        <v>36</v>
      </c>
      <c r="G41"/>
    </row>
    <row r="42" spans="1:7" x14ac:dyDescent="0.2">
      <c r="A42"/>
      <c r="B42"/>
      <c r="C42"/>
      <c r="D42"/>
      <c r="E42"/>
      <c r="F42"/>
      <c r="G42"/>
    </row>
    <row r="43" spans="1:7" x14ac:dyDescent="0.2">
      <c r="A43" s="47"/>
      <c r="B43" s="47"/>
      <c r="C43" s="47"/>
      <c r="D43" s="47"/>
      <c r="E43" s="47"/>
      <c r="F43"/>
      <c r="G43" s="47"/>
    </row>
    <row r="44" spans="1:7" x14ac:dyDescent="0.2">
      <c r="A44"/>
      <c r="B44"/>
      <c r="C44"/>
      <c r="D44"/>
      <c r="E44"/>
      <c r="F44"/>
      <c r="G44"/>
    </row>
    <row r="45" spans="1:7" x14ac:dyDescent="0.2">
      <c r="A45" t="s">
        <v>119</v>
      </c>
      <c r="B45"/>
      <c r="C45"/>
      <c r="D45"/>
      <c r="E45"/>
      <c r="F45" t="s">
        <v>36</v>
      </c>
      <c r="G45"/>
    </row>
    <row r="46" spans="1:7" x14ac:dyDescent="0.2">
      <c r="A46"/>
      <c r="B46"/>
      <c r="C46"/>
      <c r="D46"/>
      <c r="E46"/>
      <c r="F46"/>
      <c r="G46"/>
    </row>
    <row r="47" spans="1:7" x14ac:dyDescent="0.2">
      <c r="A47" s="47"/>
      <c r="B47" s="47"/>
      <c r="C47" s="47"/>
      <c r="D47" s="47"/>
      <c r="E47" s="47"/>
      <c r="F47"/>
      <c r="G47" s="47"/>
    </row>
    <row r="48" spans="1:7" x14ac:dyDescent="0.2">
      <c r="A48"/>
      <c r="B48"/>
      <c r="C48"/>
      <c r="D48"/>
      <c r="E48"/>
      <c r="F48"/>
      <c r="G48"/>
    </row>
    <row r="50" spans="1:7" ht="16" x14ac:dyDescent="0.2">
      <c r="A50" s="66"/>
      <c r="B50" s="66"/>
      <c r="C50" s="66"/>
      <c r="D50" s="66"/>
      <c r="E50" s="66"/>
      <c r="F50" s="66"/>
    </row>
    <row r="52" spans="1:7" ht="16" x14ac:dyDescent="0.2">
      <c r="A52" s="66"/>
      <c r="B52" s="66"/>
      <c r="C52" s="66"/>
      <c r="D52" s="66"/>
      <c r="E52" s="66"/>
      <c r="F52" s="63"/>
      <c r="G52" s="63"/>
    </row>
    <row r="53" spans="1:7" ht="16" x14ac:dyDescent="0.2">
      <c r="A53" s="145" t="s">
        <v>96</v>
      </c>
      <c r="B53" s="146"/>
      <c r="C53" s="146"/>
      <c r="D53" s="146"/>
      <c r="E53" s="147"/>
      <c r="F53" s="148" t="s">
        <v>97</v>
      </c>
      <c r="G53" s="149"/>
    </row>
    <row r="54" spans="1:7" x14ac:dyDescent="0.2">
      <c r="A54" s="150" t="s">
        <v>98</v>
      </c>
      <c r="B54" s="151"/>
      <c r="C54" s="151"/>
      <c r="D54" s="151"/>
      <c r="E54" s="152"/>
      <c r="F54" s="153">
        <f>markingNameCell</f>
        <v>0</v>
      </c>
      <c r="G54" s="154"/>
    </row>
    <row r="55" spans="1:7" ht="16" x14ac:dyDescent="0.2">
      <c r="A55" s="145" t="s">
        <v>99</v>
      </c>
      <c r="B55" s="155"/>
      <c r="C55" s="155"/>
      <c r="D55" s="155"/>
      <c r="E55" s="155"/>
      <c r="F55" s="156" t="s">
        <v>21</v>
      </c>
      <c r="G55" s="156" t="s">
        <v>22</v>
      </c>
    </row>
    <row r="56" spans="1:7" x14ac:dyDescent="0.2">
      <c r="A56" s="158" t="s">
        <v>120</v>
      </c>
      <c r="B56" s="159"/>
      <c r="C56" s="159"/>
      <c r="D56" s="159"/>
      <c r="E56" s="159"/>
      <c r="F56" s="157"/>
      <c r="G56" s="157"/>
    </row>
    <row r="57" spans="1:7" x14ac:dyDescent="0.2">
      <c r="A57" s="68" t="s">
        <v>101</v>
      </c>
      <c r="B57" s="69"/>
      <c r="C57" s="69"/>
      <c r="D57" s="69"/>
      <c r="E57" s="70"/>
      <c r="F57" s="70"/>
      <c r="G57" s="71"/>
    </row>
    <row r="58" spans="1:7" x14ac:dyDescent="0.2">
      <c r="A58" s="40"/>
      <c r="B58" s="2"/>
      <c r="C58" s="2"/>
      <c r="D58" s="2"/>
      <c r="E58" s="41"/>
      <c r="F58" s="86"/>
      <c r="G58" s="86"/>
    </row>
    <row r="59" spans="1:7" x14ac:dyDescent="0.2">
      <c r="A59" s="142" t="s">
        <v>121</v>
      </c>
      <c r="B59" s="143"/>
      <c r="C59" s="143"/>
      <c r="D59" s="143"/>
      <c r="E59" s="144"/>
      <c r="F59" s="87"/>
      <c r="G59" s="87"/>
    </row>
    <row r="60" spans="1:7" x14ac:dyDescent="0.2">
      <c r="A60" s="142"/>
      <c r="B60" s="143"/>
      <c r="C60" s="143"/>
      <c r="D60" s="143"/>
      <c r="E60" s="144"/>
      <c r="F60" s="87"/>
      <c r="G60" s="87"/>
    </row>
    <row r="61" spans="1:7" x14ac:dyDescent="0.2">
      <c r="A61" s="142"/>
      <c r="B61" s="143"/>
      <c r="C61" s="143"/>
      <c r="D61" s="143"/>
      <c r="E61" s="144"/>
      <c r="F61" s="87"/>
      <c r="G61" s="87"/>
    </row>
    <row r="62" spans="1:7" ht="16" x14ac:dyDescent="0.2">
      <c r="A62" s="85"/>
      <c r="B62" s="88"/>
      <c r="C62" s="88"/>
      <c r="D62" s="88"/>
      <c r="E62" s="89"/>
      <c r="F62" s="90"/>
      <c r="G62" s="90"/>
    </row>
    <row r="63" spans="1:7" ht="16" x14ac:dyDescent="0.2">
      <c r="A63" s="74"/>
      <c r="B63" s="78"/>
      <c r="C63" s="78"/>
      <c r="D63" s="78"/>
      <c r="E63" s="79"/>
      <c r="F63" s="139">
        <v>2</v>
      </c>
      <c r="G63" s="139"/>
    </row>
    <row r="64" spans="1:7" ht="16" x14ac:dyDescent="0.2">
      <c r="A64" s="74" t="s">
        <v>20</v>
      </c>
      <c r="B64" s="81" t="s">
        <v>122</v>
      </c>
      <c r="C64" s="78"/>
      <c r="D64" s="78"/>
      <c r="E64" s="79"/>
      <c r="F64" s="137"/>
      <c r="G64" s="137"/>
    </row>
    <row r="65" spans="1:7" ht="16" x14ac:dyDescent="0.2">
      <c r="A65" s="75"/>
      <c r="B65" s="47"/>
      <c r="C65" s="83"/>
      <c r="D65" s="83"/>
      <c r="E65" s="84"/>
      <c r="F65" s="138"/>
      <c r="G65" s="138"/>
    </row>
    <row r="66" spans="1:7" ht="16" x14ac:dyDescent="0.2">
      <c r="A66" s="74"/>
      <c r="B66" s="81"/>
      <c r="C66" s="81"/>
      <c r="D66" s="81"/>
      <c r="E66" s="82"/>
      <c r="F66" s="139">
        <v>5</v>
      </c>
      <c r="G66" s="139"/>
    </row>
    <row r="67" spans="1:7" ht="16" x14ac:dyDescent="0.2">
      <c r="A67" s="74" t="s">
        <v>20</v>
      </c>
      <c r="B67" s="81" t="s">
        <v>123</v>
      </c>
      <c r="C67" s="81"/>
      <c r="D67" s="81"/>
      <c r="E67" s="82"/>
      <c r="F67" s="137"/>
      <c r="G67" s="137"/>
    </row>
    <row r="68" spans="1:7" ht="16" x14ac:dyDescent="0.2">
      <c r="A68" s="74"/>
      <c r="B68" s="3"/>
      <c r="C68" s="3"/>
      <c r="D68" s="3"/>
      <c r="E68" s="73"/>
      <c r="F68" s="138"/>
      <c r="G68" s="138"/>
    </row>
    <row r="69" spans="1:7" ht="16" x14ac:dyDescent="0.2">
      <c r="A69" s="91"/>
      <c r="B69" s="92"/>
      <c r="C69" s="92"/>
      <c r="D69" s="92"/>
      <c r="E69" s="92"/>
      <c r="F69" s="139">
        <v>10</v>
      </c>
      <c r="G69" s="139"/>
    </row>
    <row r="70" spans="1:7" ht="16" x14ac:dyDescent="0.2">
      <c r="A70" s="93" t="s">
        <v>20</v>
      </c>
      <c r="B70" s="81" t="s">
        <v>107</v>
      </c>
      <c r="C70" s="81"/>
      <c r="D70" s="81"/>
      <c r="E70" s="81"/>
      <c r="F70" s="137"/>
      <c r="G70" s="137"/>
    </row>
    <row r="71" spans="1:7" ht="16" x14ac:dyDescent="0.2">
      <c r="A71" s="85"/>
      <c r="B71" s="83"/>
      <c r="C71" s="83"/>
      <c r="D71" s="83"/>
      <c r="E71" s="83"/>
      <c r="F71" s="138"/>
      <c r="G71" s="138"/>
    </row>
    <row r="72" spans="1:7" ht="16" x14ac:dyDescent="0.2">
      <c r="A72" s="80"/>
      <c r="B72" s="81"/>
      <c r="C72" s="81"/>
      <c r="D72" s="81"/>
      <c r="E72" s="81"/>
      <c r="F72" s="139">
        <v>6</v>
      </c>
      <c r="G72" s="139"/>
    </row>
    <row r="73" spans="1:7" ht="16" x14ac:dyDescent="0.2">
      <c r="A73" s="93" t="s">
        <v>20</v>
      </c>
      <c r="B73" s="1" t="s">
        <v>124</v>
      </c>
      <c r="C73" s="3"/>
      <c r="D73" s="3"/>
      <c r="E73" s="3"/>
      <c r="F73" s="137"/>
      <c r="G73" s="137"/>
    </row>
    <row r="74" spans="1:7" ht="16" x14ac:dyDescent="0.2">
      <c r="A74" s="85"/>
      <c r="B74" s="94"/>
      <c r="C74" s="94"/>
      <c r="D74" s="94"/>
      <c r="E74" s="94"/>
      <c r="F74" s="138"/>
      <c r="G74" s="138"/>
    </row>
    <row r="75" spans="1:7" ht="16" x14ac:dyDescent="0.2">
      <c r="A75" s="74"/>
      <c r="B75" s="3"/>
      <c r="C75" s="3"/>
      <c r="D75" s="3"/>
      <c r="E75" s="3"/>
      <c r="F75" s="139">
        <v>3</v>
      </c>
      <c r="G75" s="139"/>
    </row>
    <row r="76" spans="1:7" ht="16" x14ac:dyDescent="0.2">
      <c r="A76" s="93" t="s">
        <v>20</v>
      </c>
      <c r="B76" s="140" t="s">
        <v>125</v>
      </c>
      <c r="C76" s="140"/>
      <c r="D76" s="140"/>
      <c r="E76" s="141"/>
      <c r="F76" s="137"/>
      <c r="G76" s="137"/>
    </row>
    <row r="77" spans="1:7" ht="16" x14ac:dyDescent="0.2">
      <c r="A77" s="80"/>
      <c r="B77" s="140"/>
      <c r="C77" s="140"/>
      <c r="D77" s="140"/>
      <c r="E77" s="141"/>
      <c r="F77" s="137"/>
      <c r="G77" s="137"/>
    </row>
    <row r="78" spans="1:7" ht="16" x14ac:dyDescent="0.2">
      <c r="A78" s="85"/>
      <c r="B78" s="83"/>
      <c r="C78" s="83"/>
      <c r="D78" s="83"/>
      <c r="E78" s="83"/>
      <c r="F78" s="138"/>
      <c r="G78" s="138"/>
    </row>
    <row r="79" spans="1:7" ht="16" x14ac:dyDescent="0.2">
      <c r="A79" s="80"/>
      <c r="B79" s="81"/>
      <c r="C79" s="81"/>
      <c r="D79" s="81"/>
      <c r="E79" s="81"/>
      <c r="F79" s="139">
        <v>4</v>
      </c>
      <c r="G79" s="139"/>
    </row>
    <row r="80" spans="1:7" ht="16" x14ac:dyDescent="0.2">
      <c r="A80" s="93" t="s">
        <v>20</v>
      </c>
      <c r="B80" s="81" t="s">
        <v>102</v>
      </c>
      <c r="C80" s="81"/>
      <c r="D80" s="81"/>
      <c r="E80" s="81"/>
      <c r="F80" s="137"/>
      <c r="G80" s="137"/>
    </row>
    <row r="81" spans="1:7" ht="16" x14ac:dyDescent="0.2">
      <c r="A81" s="74"/>
      <c r="B81" s="95" t="s">
        <v>20</v>
      </c>
      <c r="C81" s="3" t="s">
        <v>126</v>
      </c>
      <c r="D81" s="3"/>
      <c r="E81" s="3"/>
      <c r="F81" s="137"/>
      <c r="G81" s="137"/>
    </row>
    <row r="82" spans="1:7" ht="16" x14ac:dyDescent="0.2">
      <c r="A82" s="80"/>
      <c r="B82" s="95" t="s">
        <v>20</v>
      </c>
      <c r="C82" s="140" t="s">
        <v>127</v>
      </c>
      <c r="D82" s="140"/>
      <c r="E82" s="141"/>
      <c r="F82" s="137"/>
      <c r="G82" s="137"/>
    </row>
    <row r="83" spans="1:7" ht="16" x14ac:dyDescent="0.2">
      <c r="A83" s="80"/>
      <c r="B83" s="81"/>
      <c r="C83" s="140"/>
      <c r="D83" s="140"/>
      <c r="E83" s="141"/>
      <c r="F83" s="137"/>
      <c r="G83" s="137"/>
    </row>
    <row r="84" spans="1:7" ht="16" x14ac:dyDescent="0.2">
      <c r="A84" s="80"/>
      <c r="B84" s="95" t="s">
        <v>20</v>
      </c>
      <c r="C84" s="81" t="s">
        <v>128</v>
      </c>
      <c r="D84" s="81"/>
      <c r="E84" s="81"/>
      <c r="F84" s="137"/>
      <c r="G84" s="137"/>
    </row>
    <row r="85" spans="1:7" ht="16" x14ac:dyDescent="0.2">
      <c r="A85" s="85"/>
      <c r="B85" s="83"/>
      <c r="C85" s="83"/>
      <c r="D85" s="83"/>
      <c r="E85" s="83"/>
      <c r="F85" s="138"/>
      <c r="G85" s="138"/>
    </row>
    <row r="86" spans="1:7" x14ac:dyDescent="0.2">
      <c r="A86" s="131" t="s">
        <v>117</v>
      </c>
      <c r="B86" s="132"/>
      <c r="C86" s="132"/>
      <c r="D86" s="132"/>
      <c r="E86" s="132"/>
      <c r="F86" s="135">
        <v>30</v>
      </c>
      <c r="G86" s="137">
        <f>SUM(G63,G66,G69,G72,G75,G79)</f>
        <v>0</v>
      </c>
    </row>
    <row r="87" spans="1:7" x14ac:dyDescent="0.2">
      <c r="A87" s="133"/>
      <c r="B87" s="134"/>
      <c r="C87" s="134"/>
      <c r="D87" s="134"/>
      <c r="E87" s="134"/>
      <c r="F87" s="136"/>
      <c r="G87" s="138"/>
    </row>
    <row r="88" spans="1:7" x14ac:dyDescent="0.2">
      <c r="A88"/>
      <c r="B88"/>
      <c r="C88"/>
      <c r="D88"/>
      <c r="E88"/>
      <c r="F88"/>
      <c r="G88"/>
    </row>
    <row r="89" spans="1:7" x14ac:dyDescent="0.2">
      <c r="A89" t="s">
        <v>118</v>
      </c>
      <c r="B89"/>
      <c r="C89"/>
      <c r="D89"/>
      <c r="E89"/>
      <c r="F89" t="s">
        <v>36</v>
      </c>
      <c r="G89"/>
    </row>
    <row r="90" spans="1:7" x14ac:dyDescent="0.2">
      <c r="A90"/>
      <c r="B90"/>
      <c r="C90"/>
      <c r="D90"/>
      <c r="E90"/>
      <c r="F90"/>
      <c r="G90"/>
    </row>
    <row r="91" spans="1:7" x14ac:dyDescent="0.2">
      <c r="A91" s="47"/>
      <c r="B91" s="47"/>
      <c r="C91" s="47"/>
      <c r="D91" s="47"/>
      <c r="E91" s="47"/>
      <c r="F91"/>
      <c r="G91" s="47"/>
    </row>
    <row r="92" spans="1:7" x14ac:dyDescent="0.2">
      <c r="A92"/>
      <c r="B92"/>
      <c r="C92"/>
      <c r="D92"/>
      <c r="E92"/>
      <c r="F92"/>
      <c r="G92"/>
    </row>
    <row r="93" spans="1:7" x14ac:dyDescent="0.2">
      <c r="A93" t="s">
        <v>119</v>
      </c>
      <c r="B93"/>
      <c r="C93"/>
      <c r="D93"/>
      <c r="E93"/>
      <c r="F93" t="s">
        <v>36</v>
      </c>
      <c r="G93"/>
    </row>
    <row r="94" spans="1:7" x14ac:dyDescent="0.2">
      <c r="A94"/>
      <c r="B94"/>
      <c r="C94"/>
      <c r="D94"/>
      <c r="E94"/>
      <c r="F94"/>
      <c r="G94"/>
    </row>
    <row r="95" spans="1:7" x14ac:dyDescent="0.2">
      <c r="A95" s="47"/>
      <c r="B95" s="47"/>
      <c r="C95" s="47"/>
      <c r="D95" s="47"/>
      <c r="E95" s="47"/>
      <c r="F95"/>
      <c r="G95" s="47"/>
    </row>
    <row r="96" spans="1:7" x14ac:dyDescent="0.2">
      <c r="A96"/>
      <c r="B96"/>
      <c r="C96"/>
      <c r="D96"/>
      <c r="E96"/>
      <c r="F96"/>
      <c r="G96"/>
    </row>
    <row r="97" spans="1:7" ht="16" x14ac:dyDescent="0.2">
      <c r="A97" s="65"/>
      <c r="B97" s="65"/>
      <c r="C97" s="65"/>
      <c r="D97" s="65"/>
      <c r="E97" s="65"/>
      <c r="F97" s="61"/>
      <c r="G97" s="61"/>
    </row>
    <row r="98" spans="1:7" ht="16" x14ac:dyDescent="0.2">
      <c r="A98" s="64"/>
      <c r="B98" s="65"/>
      <c r="C98" s="65"/>
      <c r="D98" s="65"/>
      <c r="E98" s="65"/>
      <c r="F98" s="61"/>
      <c r="G98" s="61"/>
    </row>
    <row r="99" spans="1:7" ht="16" x14ac:dyDescent="0.2">
      <c r="A99" s="67"/>
      <c r="B99" s="67"/>
      <c r="C99" s="67"/>
      <c r="D99" s="67"/>
      <c r="E99" s="65"/>
      <c r="F99" s="61"/>
      <c r="G99" s="61"/>
    </row>
    <row r="100" spans="1:7" ht="16" x14ac:dyDescent="0.2">
      <c r="A100" s="64"/>
      <c r="B100" s="65"/>
      <c r="C100" s="65"/>
      <c r="D100" s="65"/>
      <c r="E100" s="65"/>
      <c r="F100" s="61"/>
      <c r="G100" s="61"/>
    </row>
    <row r="101" spans="1:7" ht="16" x14ac:dyDescent="0.2">
      <c r="A101" s="64"/>
      <c r="B101" s="65"/>
      <c r="C101" s="65"/>
      <c r="D101" s="65"/>
      <c r="E101" s="65"/>
      <c r="F101" s="61"/>
      <c r="G101" s="61"/>
    </row>
    <row r="102" spans="1:7" ht="16" x14ac:dyDescent="0.2">
      <c r="A102" s="65"/>
      <c r="B102" s="65"/>
      <c r="C102" s="65"/>
      <c r="D102" s="65"/>
      <c r="E102" s="65"/>
      <c r="F102" s="61"/>
      <c r="G102" s="61"/>
    </row>
    <row r="103" spans="1:7" ht="16" x14ac:dyDescent="0.2">
      <c r="A103" s="65"/>
      <c r="B103" s="65"/>
      <c r="C103" s="65"/>
      <c r="D103" s="65"/>
      <c r="E103" s="65"/>
      <c r="F103" s="63"/>
      <c r="G103" s="61"/>
    </row>
    <row r="104" spans="1:7" ht="16" x14ac:dyDescent="0.2">
      <c r="A104" s="65"/>
      <c r="B104" s="65"/>
      <c r="C104" s="65"/>
      <c r="D104" s="65"/>
      <c r="E104" s="65"/>
      <c r="F104" s="61"/>
      <c r="G104" s="61"/>
    </row>
    <row r="105" spans="1:7" ht="16" x14ac:dyDescent="0.2">
      <c r="A105" s="65"/>
      <c r="B105" s="65"/>
      <c r="C105" s="65"/>
      <c r="D105" s="65"/>
      <c r="E105" s="65"/>
      <c r="F105" s="63"/>
      <c r="G105" s="61"/>
    </row>
    <row r="106" spans="1:7" ht="16" x14ac:dyDescent="0.2">
      <c r="E106" s="66"/>
      <c r="F106" s="63"/>
      <c r="G106" s="63"/>
    </row>
    <row r="107" spans="1:7" ht="16" x14ac:dyDescent="0.2">
      <c r="D107" s="66"/>
      <c r="E107" s="66"/>
      <c r="F107" s="63"/>
      <c r="G107" s="63"/>
    </row>
    <row r="111" spans="1:7" x14ac:dyDescent="0.2">
      <c r="F111" s="62"/>
    </row>
    <row r="113" spans="6:6" x14ac:dyDescent="0.2">
      <c r="F113" s="62"/>
    </row>
    <row r="150" s="1" customFormat="1" x14ac:dyDescent="0.2"/>
    <row r="151" s="1" customFormat="1" x14ac:dyDescent="0.2"/>
    <row r="155" s="1" customFormat="1" x14ac:dyDescent="0.2"/>
    <row r="177" s="1" customFormat="1" x14ac:dyDescent="0.2"/>
    <row r="178" s="1" customFormat="1" x14ac:dyDescent="0.2"/>
    <row r="180" s="1" customFormat="1" x14ac:dyDescent="0.2"/>
    <row r="181" s="1" customFormat="1" x14ac:dyDescent="0.2"/>
    <row r="196" s="1" customFormat="1" x14ac:dyDescent="0.2"/>
    <row r="198" s="1" customFormat="1" x14ac:dyDescent="0.2"/>
    <row r="199" s="1" customFormat="1" x14ac:dyDescent="0.2"/>
    <row r="200" s="1" customFormat="1" x14ac:dyDescent="0.2"/>
    <row r="201" s="1" customFormat="1" x14ac:dyDescent="0.2"/>
    <row r="202" s="1" customFormat="1" x14ac:dyDescent="0.2"/>
    <row r="204" s="1" customFormat="1" x14ac:dyDescent="0.2"/>
    <row r="206" s="1" customFormat="1" x14ac:dyDescent="0.2"/>
    <row r="207" s="1" customFormat="1" x14ac:dyDescent="0.2"/>
    <row r="208" s="1" customFormat="1" x14ac:dyDescent="0.2"/>
    <row r="209" s="1" customFormat="1" x14ac:dyDescent="0.2"/>
    <row r="210" s="1" customFormat="1" x14ac:dyDescent="0.2"/>
    <row r="216" s="1" customFormat="1" x14ac:dyDescent="0.2"/>
    <row r="220" s="1" customFormat="1" x14ac:dyDescent="0.2"/>
  </sheetData>
  <mergeCells count="53">
    <mergeCell ref="F66:F68"/>
    <mergeCell ref="G66:G68"/>
    <mergeCell ref="C82:E83"/>
    <mergeCell ref="A86:E87"/>
    <mergeCell ref="F86:F87"/>
    <mergeCell ref="G86:G87"/>
    <mergeCell ref="F69:F71"/>
    <mergeCell ref="G69:G71"/>
    <mergeCell ref="F72:F74"/>
    <mergeCell ref="G72:G74"/>
    <mergeCell ref="F75:F78"/>
    <mergeCell ref="G75:G78"/>
    <mergeCell ref="F79:F85"/>
    <mergeCell ref="G79:G85"/>
    <mergeCell ref="G55:G56"/>
    <mergeCell ref="A56:E56"/>
    <mergeCell ref="A59:E61"/>
    <mergeCell ref="F63:F65"/>
    <mergeCell ref="G63:G65"/>
    <mergeCell ref="G12:G19"/>
    <mergeCell ref="B17:E18"/>
    <mergeCell ref="F20:F26"/>
    <mergeCell ref="G20:G26"/>
    <mergeCell ref="B22:E23"/>
    <mergeCell ref="B24:E25"/>
    <mergeCell ref="F12:F19"/>
    <mergeCell ref="A1:E1"/>
    <mergeCell ref="F1:G1"/>
    <mergeCell ref="A2:E2"/>
    <mergeCell ref="F6:F11"/>
    <mergeCell ref="G6:G11"/>
    <mergeCell ref="B9:E10"/>
    <mergeCell ref="F2:G2"/>
    <mergeCell ref="A3:E3"/>
    <mergeCell ref="F3:F4"/>
    <mergeCell ref="G3:G4"/>
    <mergeCell ref="A4:E4"/>
    <mergeCell ref="F27:F32"/>
    <mergeCell ref="G27:G32"/>
    <mergeCell ref="B30:E31"/>
    <mergeCell ref="A53:E53"/>
    <mergeCell ref="B76:E77"/>
    <mergeCell ref="F33:F37"/>
    <mergeCell ref="G33:G37"/>
    <mergeCell ref="B35:E36"/>
    <mergeCell ref="A38:E39"/>
    <mergeCell ref="F38:F39"/>
    <mergeCell ref="G38:G39"/>
    <mergeCell ref="F53:G53"/>
    <mergeCell ref="A54:E54"/>
    <mergeCell ref="F54:G54"/>
    <mergeCell ref="A55:E55"/>
    <mergeCell ref="F55:F56"/>
  </mergeCells>
  <pageMargins left="0.5" right="0.5" top="0.5" bottom="0.5" header="0.3" footer="0.3"/>
  <pageSetup paperSize="9" fitToHeight="0"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G169"/>
  <sheetViews>
    <sheetView view="pageLayout" zoomScaleNormal="100" workbookViewId="0">
      <selection activeCell="A9" sqref="A9:C9"/>
    </sheetView>
  </sheetViews>
  <sheetFormatPr baseColWidth="10" defaultColWidth="10.6640625" defaultRowHeight="15" x14ac:dyDescent="0.2"/>
  <cols>
    <col min="4" max="4" width="12" customWidth="1"/>
    <col min="5" max="5" width="11" customWidth="1"/>
    <col min="7" max="7" width="13.1640625" customWidth="1"/>
  </cols>
  <sheetData>
    <row r="1" spans="1:7" ht="19" x14ac:dyDescent="0.2">
      <c r="A1" s="196" t="s">
        <v>149</v>
      </c>
      <c r="B1" s="197"/>
      <c r="C1" s="197"/>
      <c r="D1" s="197"/>
      <c r="E1" s="197"/>
      <c r="F1" s="197"/>
      <c r="G1" s="198"/>
    </row>
    <row r="2" spans="1:7" x14ac:dyDescent="0.2">
      <c r="A2" s="101" t="s">
        <v>24</v>
      </c>
      <c r="B2" s="46"/>
      <c r="C2" s="5"/>
      <c r="D2" s="46"/>
      <c r="E2" s="102" t="s">
        <v>26</v>
      </c>
      <c r="F2" s="46"/>
      <c r="G2" s="5"/>
    </row>
    <row r="3" spans="1:7" ht="16" x14ac:dyDescent="0.2">
      <c r="A3" s="191" t="s">
        <v>25</v>
      </c>
      <c r="B3" s="189"/>
      <c r="C3" s="190"/>
      <c r="E3" s="191" t="s">
        <v>98</v>
      </c>
      <c r="F3" s="189"/>
      <c r="G3" s="190"/>
    </row>
    <row r="4" spans="1:7" x14ac:dyDescent="0.2">
      <c r="A4" s="103" t="s">
        <v>27</v>
      </c>
      <c r="C4" s="8"/>
      <c r="E4" s="104" t="s">
        <v>28</v>
      </c>
      <c r="G4" s="8"/>
    </row>
    <row r="5" spans="1:7" ht="16" x14ac:dyDescent="0.2">
      <c r="A5" s="188">
        <v>45901</v>
      </c>
      <c r="B5" s="189"/>
      <c r="C5" s="190"/>
      <c r="E5" s="188">
        <v>46173</v>
      </c>
      <c r="F5" s="189"/>
      <c r="G5" s="190"/>
    </row>
    <row r="6" spans="1:7" x14ac:dyDescent="0.2">
      <c r="A6" s="103" t="s">
        <v>29</v>
      </c>
      <c r="C6" s="8"/>
      <c r="E6" s="104" t="s">
        <v>150</v>
      </c>
      <c r="G6" s="8"/>
    </row>
    <row r="7" spans="1:7" ht="16" x14ac:dyDescent="0.2">
      <c r="A7" s="191" t="s">
        <v>151</v>
      </c>
      <c r="B7" s="189"/>
      <c r="C7" s="190"/>
      <c r="E7" s="192">
        <v>0.7</v>
      </c>
      <c r="F7" s="189"/>
      <c r="G7" s="190"/>
    </row>
    <row r="8" spans="1:7" x14ac:dyDescent="0.2">
      <c r="A8" s="103" t="s">
        <v>152</v>
      </c>
      <c r="C8" s="8"/>
      <c r="E8" s="104" t="s">
        <v>31</v>
      </c>
      <c r="G8" s="8"/>
    </row>
    <row r="9" spans="1:7" ht="16" x14ac:dyDescent="0.2">
      <c r="A9" s="191"/>
      <c r="B9" s="189"/>
      <c r="C9" s="190"/>
      <c r="E9" s="191" t="s">
        <v>153</v>
      </c>
      <c r="F9" s="189"/>
      <c r="G9" s="190"/>
    </row>
    <row r="10" spans="1:7" x14ac:dyDescent="0.2">
      <c r="A10" s="103" t="s">
        <v>154</v>
      </c>
      <c r="C10" s="8"/>
      <c r="E10" s="7"/>
      <c r="G10" s="8"/>
    </row>
    <row r="11" spans="1:7" ht="16" x14ac:dyDescent="0.2">
      <c r="A11" s="178" t="s">
        <v>32</v>
      </c>
      <c r="B11" s="179"/>
      <c r="C11" s="180"/>
      <c r="D11" s="47"/>
      <c r="E11" s="21"/>
      <c r="F11" s="47"/>
      <c r="G11" s="6"/>
    </row>
    <row r="12" spans="1:7" x14ac:dyDescent="0.2">
      <c r="A12" s="7"/>
      <c r="G12" s="8"/>
    </row>
    <row r="13" spans="1:7" x14ac:dyDescent="0.2">
      <c r="A13" s="181" t="s">
        <v>33</v>
      </c>
      <c r="B13" s="182"/>
      <c r="C13" s="105" t="b">
        <v>1</v>
      </c>
      <c r="D13" s="46" t="s">
        <v>23</v>
      </c>
      <c r="E13" s="101" t="s">
        <v>155</v>
      </c>
      <c r="F13" s="106"/>
      <c r="G13" s="5"/>
    </row>
    <row r="14" spans="1:7" ht="16" x14ac:dyDescent="0.2">
      <c r="A14" s="183"/>
      <c r="B14" s="184"/>
      <c r="C14" s="107" t="b">
        <v>0</v>
      </c>
      <c r="D14" s="47" t="s">
        <v>35</v>
      </c>
      <c r="E14" s="108" t="s">
        <v>34</v>
      </c>
      <c r="F14" s="109"/>
      <c r="G14" s="6"/>
    </row>
    <row r="15" spans="1:7" x14ac:dyDescent="0.2">
      <c r="A15" s="7"/>
      <c r="G15" s="8"/>
    </row>
    <row r="16" spans="1:7" x14ac:dyDescent="0.2">
      <c r="A16" s="185" t="s">
        <v>156</v>
      </c>
      <c r="B16" s="186"/>
      <c r="C16" s="186"/>
      <c r="D16" s="186"/>
      <c r="E16" s="186"/>
      <c r="F16" s="186"/>
      <c r="G16" s="187"/>
    </row>
    <row r="17" spans="1:7" x14ac:dyDescent="0.2">
      <c r="A17" s="142"/>
      <c r="B17" s="143"/>
      <c r="C17" s="143"/>
      <c r="D17" s="143"/>
      <c r="E17" s="143"/>
      <c r="F17" s="143"/>
      <c r="G17" s="144"/>
    </row>
    <row r="18" spans="1:7" x14ac:dyDescent="0.2">
      <c r="A18" s="7"/>
      <c r="G18" s="8"/>
    </row>
    <row r="19" spans="1:7" ht="16" x14ac:dyDescent="0.2">
      <c r="A19" s="110" t="s">
        <v>157</v>
      </c>
      <c r="G19" s="8"/>
    </row>
    <row r="20" spans="1:7" ht="16" x14ac:dyDescent="0.2">
      <c r="A20" s="74" t="s">
        <v>20</v>
      </c>
      <c r="B20" s="140" t="s">
        <v>158</v>
      </c>
      <c r="C20" s="140"/>
      <c r="D20" s="140"/>
      <c r="E20" s="140"/>
      <c r="F20" s="140"/>
      <c r="G20" s="141"/>
    </row>
    <row r="21" spans="1:7" x14ac:dyDescent="0.2">
      <c r="A21" s="7"/>
      <c r="B21" s="140"/>
      <c r="C21" s="140"/>
      <c r="D21" s="140"/>
      <c r="E21" s="140"/>
      <c r="F21" s="140"/>
      <c r="G21" s="141"/>
    </row>
    <row r="22" spans="1:7" ht="16" x14ac:dyDescent="0.2">
      <c r="A22" s="93" t="s">
        <v>20</v>
      </c>
      <c r="B22" t="s">
        <v>159</v>
      </c>
      <c r="G22" s="8"/>
    </row>
    <row r="23" spans="1:7" ht="16" x14ac:dyDescent="0.2">
      <c r="A23" s="93" t="s">
        <v>20</v>
      </c>
      <c r="B23" s="140" t="s">
        <v>160</v>
      </c>
      <c r="C23" s="140"/>
      <c r="D23" s="140"/>
      <c r="E23" s="140"/>
      <c r="F23" s="140"/>
      <c r="G23" s="141"/>
    </row>
    <row r="24" spans="1:7" x14ac:dyDescent="0.2">
      <c r="A24" s="7"/>
      <c r="B24" s="140"/>
      <c r="C24" s="140"/>
      <c r="D24" s="140"/>
      <c r="E24" s="140"/>
      <c r="F24" s="140"/>
      <c r="G24" s="141"/>
    </row>
    <row r="25" spans="1:7" x14ac:dyDescent="0.2">
      <c r="A25" s="7"/>
      <c r="G25" s="8"/>
    </row>
    <row r="26" spans="1:7" ht="16" x14ac:dyDescent="0.2">
      <c r="A26" s="110" t="s">
        <v>161</v>
      </c>
      <c r="G26" s="8"/>
    </row>
    <row r="27" spans="1:7" x14ac:dyDescent="0.2">
      <c r="A27" s="7"/>
      <c r="G27" s="8"/>
    </row>
    <row r="28" spans="1:7" x14ac:dyDescent="0.2">
      <c r="A28" s="142" t="s">
        <v>162</v>
      </c>
      <c r="B28" s="143"/>
      <c r="C28" s="143"/>
      <c r="D28" s="143"/>
      <c r="E28" s="143"/>
      <c r="F28" s="143"/>
      <c r="G28" s="144"/>
    </row>
    <row r="29" spans="1:7" x14ac:dyDescent="0.2">
      <c r="A29" s="142"/>
      <c r="B29" s="143"/>
      <c r="C29" s="143"/>
      <c r="D29" s="143"/>
      <c r="E29" s="143"/>
      <c r="F29" s="143"/>
      <c r="G29" s="144"/>
    </row>
    <row r="30" spans="1:7" x14ac:dyDescent="0.2">
      <c r="A30" s="7"/>
      <c r="G30" s="8"/>
    </row>
    <row r="31" spans="1:7" ht="16" x14ac:dyDescent="0.2">
      <c r="A31" s="93" t="s">
        <v>20</v>
      </c>
      <c r="B31" s="111" t="s">
        <v>163</v>
      </c>
      <c r="G31" s="8"/>
    </row>
    <row r="32" spans="1:7" ht="16" x14ac:dyDescent="0.2">
      <c r="A32" s="93" t="s">
        <v>20</v>
      </c>
      <c r="B32" s="111" t="s">
        <v>164</v>
      </c>
      <c r="G32" s="8"/>
    </row>
    <row r="33" spans="1:7" ht="16" x14ac:dyDescent="0.2">
      <c r="A33" s="93" t="s">
        <v>20</v>
      </c>
      <c r="B33" s="143" t="s">
        <v>165</v>
      </c>
      <c r="C33" s="143"/>
      <c r="D33" s="143"/>
      <c r="E33" s="143"/>
      <c r="F33" s="143"/>
      <c r="G33" s="144"/>
    </row>
    <row r="34" spans="1:7" x14ac:dyDescent="0.2">
      <c r="A34" s="7"/>
      <c r="B34" s="143"/>
      <c r="C34" s="143"/>
      <c r="D34" s="143"/>
      <c r="E34" s="143"/>
      <c r="F34" s="143"/>
      <c r="G34" s="144"/>
    </row>
    <row r="35" spans="1:7" ht="16" x14ac:dyDescent="0.2">
      <c r="A35" s="93" t="s">
        <v>20</v>
      </c>
      <c r="B35" s="111" t="s">
        <v>166</v>
      </c>
      <c r="G35" s="8"/>
    </row>
    <row r="36" spans="1:7" x14ac:dyDescent="0.2">
      <c r="A36" s="7"/>
      <c r="G36" s="8"/>
    </row>
    <row r="37" spans="1:7" ht="16" x14ac:dyDescent="0.2">
      <c r="A37" s="112" t="s">
        <v>167</v>
      </c>
      <c r="G37" s="8"/>
    </row>
    <row r="38" spans="1:7" x14ac:dyDescent="0.2">
      <c r="A38" s="7"/>
      <c r="G38" s="8"/>
    </row>
    <row r="39" spans="1:7" ht="16" x14ac:dyDescent="0.2">
      <c r="A39" s="93" t="s">
        <v>20</v>
      </c>
      <c r="B39" s="143" t="s">
        <v>168</v>
      </c>
      <c r="C39" s="143"/>
      <c r="D39" s="143"/>
      <c r="E39" s="143"/>
      <c r="F39" s="143"/>
      <c r="G39" s="144"/>
    </row>
    <row r="40" spans="1:7" x14ac:dyDescent="0.2">
      <c r="A40" s="7"/>
      <c r="B40" s="143"/>
      <c r="C40" s="143"/>
      <c r="D40" s="143"/>
      <c r="E40" s="143"/>
      <c r="F40" s="143"/>
      <c r="G40" s="144"/>
    </row>
    <row r="41" spans="1:7" x14ac:dyDescent="0.2">
      <c r="A41" s="7"/>
      <c r="B41" s="143"/>
      <c r="C41" s="143"/>
      <c r="D41" s="143"/>
      <c r="E41" s="143"/>
      <c r="F41" s="143"/>
      <c r="G41" s="144"/>
    </row>
    <row r="42" spans="1:7" x14ac:dyDescent="0.2">
      <c r="A42" s="7"/>
      <c r="B42" s="143"/>
      <c r="C42" s="143"/>
      <c r="D42" s="143"/>
      <c r="E42" s="143"/>
      <c r="F42" s="143"/>
      <c r="G42" s="144"/>
    </row>
    <row r="43" spans="1:7" ht="16" x14ac:dyDescent="0.2">
      <c r="A43" s="93" t="s">
        <v>20</v>
      </c>
      <c r="B43" s="143" t="s">
        <v>169</v>
      </c>
      <c r="C43" s="143"/>
      <c r="D43" s="143"/>
      <c r="E43" s="143"/>
      <c r="F43" s="143"/>
      <c r="G43" s="144"/>
    </row>
    <row r="44" spans="1:7" x14ac:dyDescent="0.2">
      <c r="A44" s="7"/>
      <c r="B44" s="143"/>
      <c r="C44" s="143"/>
      <c r="D44" s="143"/>
      <c r="E44" s="143"/>
      <c r="F44" s="143"/>
      <c r="G44" s="144"/>
    </row>
    <row r="45" spans="1:7" ht="16" x14ac:dyDescent="0.2">
      <c r="A45" s="93" t="s">
        <v>20</v>
      </c>
      <c r="B45" s="143" t="s">
        <v>170</v>
      </c>
      <c r="C45" s="143"/>
      <c r="D45" s="143"/>
      <c r="E45" s="143"/>
      <c r="F45" s="143"/>
      <c r="G45" s="144"/>
    </row>
    <row r="46" spans="1:7" x14ac:dyDescent="0.2">
      <c r="A46" s="7"/>
      <c r="B46" s="143"/>
      <c r="C46" s="143"/>
      <c r="D46" s="143"/>
      <c r="E46" s="143"/>
      <c r="F46" s="143"/>
      <c r="G46" s="144"/>
    </row>
    <row r="47" spans="1:7" x14ac:dyDescent="0.2">
      <c r="A47" s="7"/>
      <c r="G47" s="8"/>
    </row>
    <row r="48" spans="1:7" x14ac:dyDescent="0.2">
      <c r="A48" s="21"/>
      <c r="B48" s="47"/>
      <c r="C48" s="47"/>
      <c r="D48" s="47"/>
      <c r="E48" s="47"/>
      <c r="F48" s="47"/>
      <c r="G48" s="6"/>
    </row>
    <row r="51" spans="1:7" x14ac:dyDescent="0.2">
      <c r="A51" s="18"/>
      <c r="B51" s="46"/>
      <c r="C51" s="46"/>
      <c r="D51" s="46"/>
      <c r="E51" s="46"/>
      <c r="F51" s="46"/>
      <c r="G51" s="5"/>
    </row>
    <row r="52" spans="1:7" ht="16" x14ac:dyDescent="0.2">
      <c r="A52" s="93" t="s">
        <v>20</v>
      </c>
      <c r="B52" s="143" t="s">
        <v>171</v>
      </c>
      <c r="C52" s="143"/>
      <c r="D52" s="143"/>
      <c r="E52" s="143"/>
      <c r="F52" s="143"/>
      <c r="G52" s="144"/>
    </row>
    <row r="53" spans="1:7" x14ac:dyDescent="0.2">
      <c r="A53" s="7"/>
      <c r="B53" s="143"/>
      <c r="C53" s="143"/>
      <c r="D53" s="143"/>
      <c r="E53" s="143"/>
      <c r="F53" s="143"/>
      <c r="G53" s="144"/>
    </row>
    <row r="54" spans="1:7" ht="16" x14ac:dyDescent="0.2">
      <c r="A54" s="93" t="s">
        <v>20</v>
      </c>
      <c r="B54" s="201" t="s">
        <v>172</v>
      </c>
      <c r="C54" s="201"/>
      <c r="D54" s="201"/>
      <c r="E54" s="201"/>
      <c r="F54" s="201"/>
      <c r="G54" s="202"/>
    </row>
    <row r="55" spans="1:7" x14ac:dyDescent="0.2">
      <c r="A55" s="7"/>
      <c r="B55" s="201"/>
      <c r="C55" s="201"/>
      <c r="D55" s="201"/>
      <c r="E55" s="201"/>
      <c r="F55" s="201"/>
      <c r="G55" s="202"/>
    </row>
    <row r="56" spans="1:7" x14ac:dyDescent="0.2">
      <c r="A56" s="7"/>
      <c r="B56" s="201"/>
      <c r="C56" s="201"/>
      <c r="D56" s="201"/>
      <c r="E56" s="201"/>
      <c r="F56" s="201"/>
      <c r="G56" s="202"/>
    </row>
    <row r="57" spans="1:7" x14ac:dyDescent="0.2">
      <c r="A57" s="7"/>
      <c r="B57" s="201"/>
      <c r="C57" s="201"/>
      <c r="D57" s="201"/>
      <c r="E57" s="201"/>
      <c r="F57" s="201"/>
      <c r="G57" s="202"/>
    </row>
    <row r="58" spans="1:7" x14ac:dyDescent="0.2">
      <c r="A58" s="7"/>
      <c r="B58" s="201"/>
      <c r="C58" s="201"/>
      <c r="D58" s="201"/>
      <c r="E58" s="201"/>
      <c r="F58" s="201"/>
      <c r="G58" s="202"/>
    </row>
    <row r="59" spans="1:7" x14ac:dyDescent="0.2">
      <c r="A59" s="7"/>
      <c r="B59" s="201"/>
      <c r="C59" s="201"/>
      <c r="D59" s="201"/>
      <c r="E59" s="201"/>
      <c r="F59" s="201"/>
      <c r="G59" s="202"/>
    </row>
    <row r="60" spans="1:7" x14ac:dyDescent="0.2">
      <c r="A60" s="7"/>
      <c r="G60" s="8"/>
    </row>
    <row r="61" spans="1:7" ht="16" x14ac:dyDescent="0.2">
      <c r="A61" s="110" t="s">
        <v>173</v>
      </c>
      <c r="G61" s="8"/>
    </row>
    <row r="62" spans="1:7" x14ac:dyDescent="0.2">
      <c r="A62" s="7" t="s">
        <v>174</v>
      </c>
      <c r="G62" s="8"/>
    </row>
    <row r="63" spans="1:7" x14ac:dyDescent="0.2">
      <c r="A63" s="7"/>
      <c r="G63" s="8"/>
    </row>
    <row r="64" spans="1:7" ht="16" x14ac:dyDescent="0.2">
      <c r="A64" s="7"/>
      <c r="B64" s="203" t="s">
        <v>175</v>
      </c>
      <c r="C64" s="204"/>
      <c r="D64" s="204"/>
      <c r="E64" s="205"/>
      <c r="F64" s="4" t="s">
        <v>176</v>
      </c>
      <c r="G64" s="8"/>
    </row>
    <row r="65" spans="1:7" x14ac:dyDescent="0.2">
      <c r="A65" s="7"/>
      <c r="B65" s="206" t="s">
        <v>177</v>
      </c>
      <c r="C65" s="207"/>
      <c r="D65" s="207"/>
      <c r="E65" s="207"/>
      <c r="F65" s="44">
        <v>3</v>
      </c>
      <c r="G65" s="8"/>
    </row>
    <row r="66" spans="1:7" x14ac:dyDescent="0.2">
      <c r="A66" s="7"/>
      <c r="B66" s="199" t="s">
        <v>178</v>
      </c>
      <c r="C66" s="200"/>
      <c r="D66" s="200"/>
      <c r="E66" s="200"/>
      <c r="F66" s="44">
        <v>30</v>
      </c>
      <c r="G66" s="8"/>
    </row>
    <row r="67" spans="1:7" x14ac:dyDescent="0.2">
      <c r="A67" s="7"/>
      <c r="B67" s="199" t="s">
        <v>179</v>
      </c>
      <c r="C67" s="200"/>
      <c r="D67" s="200"/>
      <c r="E67" s="200"/>
      <c r="F67" s="44">
        <v>10</v>
      </c>
      <c r="G67" s="8"/>
    </row>
    <row r="68" spans="1:7" x14ac:dyDescent="0.2">
      <c r="A68" s="7"/>
      <c r="B68" s="199" t="s">
        <v>180</v>
      </c>
      <c r="C68" s="200"/>
      <c r="D68" s="200"/>
      <c r="E68" s="200"/>
      <c r="F68" s="44">
        <v>15</v>
      </c>
      <c r="G68" s="8"/>
    </row>
    <row r="69" spans="1:7" x14ac:dyDescent="0.2">
      <c r="A69" s="7"/>
      <c r="B69" s="199" t="s">
        <v>181</v>
      </c>
      <c r="C69" s="200"/>
      <c r="D69" s="200"/>
      <c r="E69" s="200"/>
      <c r="F69" s="44">
        <v>10</v>
      </c>
      <c r="G69" s="8"/>
    </row>
    <row r="70" spans="1:7" x14ac:dyDescent="0.2">
      <c r="A70" s="7"/>
      <c r="G70" s="8"/>
    </row>
    <row r="71" spans="1:7" ht="16" x14ac:dyDescent="0.2">
      <c r="A71" s="110" t="s">
        <v>182</v>
      </c>
      <c r="G71" s="8"/>
    </row>
    <row r="72" spans="1:7" ht="16" x14ac:dyDescent="0.2">
      <c r="A72" s="7" t="s">
        <v>183</v>
      </c>
      <c r="F72" s="113">
        <v>46173</v>
      </c>
      <c r="G72" s="8"/>
    </row>
    <row r="73" spans="1:7" x14ac:dyDescent="0.2">
      <c r="A73" s="7"/>
      <c r="G73" s="8"/>
    </row>
    <row r="74" spans="1:7" ht="16" x14ac:dyDescent="0.2">
      <c r="A74" s="110" t="s">
        <v>184</v>
      </c>
      <c r="G74" s="8"/>
    </row>
    <row r="75" spans="1:7" x14ac:dyDescent="0.2">
      <c r="A75" s="172" t="s">
        <v>185</v>
      </c>
      <c r="B75" s="140"/>
      <c r="C75" s="140"/>
      <c r="D75" s="140"/>
      <c r="E75" s="140"/>
      <c r="F75" s="140"/>
      <c r="G75" s="141"/>
    </row>
    <row r="76" spans="1:7" x14ac:dyDescent="0.2">
      <c r="A76" s="172"/>
      <c r="B76" s="140"/>
      <c r="C76" s="140"/>
      <c r="D76" s="140"/>
      <c r="E76" s="140"/>
      <c r="F76" s="140"/>
      <c r="G76" s="141"/>
    </row>
    <row r="77" spans="1:7" x14ac:dyDescent="0.2">
      <c r="A77" s="7"/>
      <c r="G77" s="8"/>
    </row>
    <row r="78" spans="1:7" x14ac:dyDescent="0.2">
      <c r="A78" s="193" t="s">
        <v>186</v>
      </c>
      <c r="B78" s="194"/>
      <c r="C78" s="194"/>
      <c r="D78" s="194"/>
      <c r="E78" s="194"/>
      <c r="F78" s="194"/>
      <c r="G78" s="195"/>
    </row>
    <row r="79" spans="1:7" x14ac:dyDescent="0.2">
      <c r="A79" s="193"/>
      <c r="B79" s="194"/>
      <c r="C79" s="194"/>
      <c r="D79" s="194"/>
      <c r="E79" s="194"/>
      <c r="F79" s="194"/>
      <c r="G79" s="195"/>
    </row>
    <row r="80" spans="1:7" x14ac:dyDescent="0.2">
      <c r="A80" s="7"/>
      <c r="G80" s="8"/>
    </row>
    <row r="81" spans="1:7" ht="16" x14ac:dyDescent="0.2">
      <c r="A81" s="110" t="s">
        <v>187</v>
      </c>
      <c r="G81" s="8"/>
    </row>
    <row r="82" spans="1:7" x14ac:dyDescent="0.2">
      <c r="A82" s="7" t="s">
        <v>188</v>
      </c>
      <c r="G82" s="8"/>
    </row>
    <row r="83" spans="1:7" x14ac:dyDescent="0.2">
      <c r="A83" s="7"/>
      <c r="G83" s="8"/>
    </row>
    <row r="84" spans="1:7" x14ac:dyDescent="0.2">
      <c r="A84" s="142" t="s">
        <v>189</v>
      </c>
      <c r="B84" s="143"/>
      <c r="C84" s="143"/>
      <c r="D84" s="143"/>
      <c r="E84" s="143"/>
      <c r="F84" s="143"/>
      <c r="G84" s="144"/>
    </row>
    <row r="85" spans="1:7" x14ac:dyDescent="0.2">
      <c r="A85" s="142"/>
      <c r="B85" s="143"/>
      <c r="C85" s="143"/>
      <c r="D85" s="143"/>
      <c r="E85" s="143"/>
      <c r="F85" s="143"/>
      <c r="G85" s="144"/>
    </row>
    <row r="86" spans="1:7" x14ac:dyDescent="0.2">
      <c r="A86" s="142"/>
      <c r="B86" s="143"/>
      <c r="C86" s="143"/>
      <c r="D86" s="143"/>
      <c r="E86" s="143"/>
      <c r="F86" s="143"/>
      <c r="G86" s="144"/>
    </row>
    <row r="87" spans="1:7" x14ac:dyDescent="0.2">
      <c r="A87" s="142"/>
      <c r="B87" s="143"/>
      <c r="C87" s="143"/>
      <c r="D87" s="143"/>
      <c r="E87" s="143"/>
      <c r="F87" s="143"/>
      <c r="G87" s="144"/>
    </row>
    <row r="88" spans="1:7" x14ac:dyDescent="0.2">
      <c r="A88" s="7"/>
      <c r="G88" s="8"/>
    </row>
    <row r="89" spans="1:7" x14ac:dyDescent="0.2">
      <c r="A89" s="172" t="s">
        <v>190</v>
      </c>
      <c r="B89" s="140"/>
      <c r="C89" s="140"/>
      <c r="D89" s="140"/>
      <c r="E89" s="140"/>
      <c r="F89" s="140"/>
      <c r="G89" s="141"/>
    </row>
    <row r="90" spans="1:7" x14ac:dyDescent="0.2">
      <c r="A90" s="172"/>
      <c r="B90" s="140"/>
      <c r="C90" s="140"/>
      <c r="D90" s="140"/>
      <c r="E90" s="140"/>
      <c r="F90" s="140"/>
      <c r="G90" s="141"/>
    </row>
    <row r="91" spans="1:7" x14ac:dyDescent="0.2">
      <c r="A91" s="7"/>
      <c r="G91" s="8"/>
    </row>
    <row r="92" spans="1:7" x14ac:dyDescent="0.2">
      <c r="A92" s="7"/>
      <c r="B92" s="114" t="s">
        <v>191</v>
      </c>
      <c r="E92" s="114" t="s">
        <v>192</v>
      </c>
      <c r="G92" s="8"/>
    </row>
    <row r="93" spans="1:7" x14ac:dyDescent="0.2">
      <c r="A93" s="21"/>
      <c r="B93" s="47"/>
      <c r="C93" s="47"/>
      <c r="D93" s="47"/>
      <c r="E93" s="47"/>
      <c r="F93" s="47"/>
      <c r="G93" s="6"/>
    </row>
    <row r="102" spans="1:7" ht="19" x14ac:dyDescent="0.2">
      <c r="A102" s="196" t="s">
        <v>193</v>
      </c>
      <c r="B102" s="197"/>
      <c r="C102" s="197"/>
      <c r="D102" s="197"/>
      <c r="E102" s="197"/>
      <c r="F102" s="197"/>
      <c r="G102" s="198"/>
    </row>
    <row r="103" spans="1:7" x14ac:dyDescent="0.2">
      <c r="A103" s="101" t="s">
        <v>24</v>
      </c>
      <c r="B103" s="46"/>
      <c r="C103" s="5"/>
      <c r="D103" s="46"/>
      <c r="E103" s="102" t="s">
        <v>26</v>
      </c>
      <c r="F103" s="46"/>
      <c r="G103" s="5"/>
    </row>
    <row r="104" spans="1:7" ht="16" x14ac:dyDescent="0.2">
      <c r="A104" s="191" t="s">
        <v>25</v>
      </c>
      <c r="B104" s="189"/>
      <c r="C104" s="190"/>
      <c r="E104" s="191" t="s">
        <v>98</v>
      </c>
      <c r="F104" s="189"/>
      <c r="G104" s="190"/>
    </row>
    <row r="105" spans="1:7" x14ac:dyDescent="0.2">
      <c r="A105" s="103" t="s">
        <v>27</v>
      </c>
      <c r="C105" s="8"/>
      <c r="E105" s="104" t="s">
        <v>28</v>
      </c>
      <c r="G105" s="8"/>
    </row>
    <row r="106" spans="1:7" ht="16" x14ac:dyDescent="0.2">
      <c r="A106" s="188">
        <v>45901</v>
      </c>
      <c r="B106" s="189"/>
      <c r="C106" s="190"/>
      <c r="E106" s="188">
        <v>46173</v>
      </c>
      <c r="F106" s="189"/>
      <c r="G106" s="190"/>
    </row>
    <row r="107" spans="1:7" x14ac:dyDescent="0.2">
      <c r="A107" s="103" t="s">
        <v>29</v>
      </c>
      <c r="C107" s="8"/>
      <c r="E107" s="104" t="s">
        <v>150</v>
      </c>
      <c r="G107" s="8"/>
    </row>
    <row r="108" spans="1:7" ht="16" x14ac:dyDescent="0.2">
      <c r="A108" s="191" t="s">
        <v>30</v>
      </c>
      <c r="B108" s="189"/>
      <c r="C108" s="190"/>
      <c r="E108" s="192">
        <v>0.3</v>
      </c>
      <c r="F108" s="189"/>
      <c r="G108" s="190"/>
    </row>
    <row r="109" spans="1:7" x14ac:dyDescent="0.2">
      <c r="A109" s="103" t="s">
        <v>152</v>
      </c>
      <c r="C109" s="8"/>
      <c r="E109" s="104" t="s">
        <v>31</v>
      </c>
      <c r="G109" s="8"/>
    </row>
    <row r="110" spans="1:7" ht="16" x14ac:dyDescent="0.2">
      <c r="A110" s="191">
        <f>BriefProofScoreCell</f>
        <v>0</v>
      </c>
      <c r="B110" s="189"/>
      <c r="C110" s="190"/>
      <c r="E110" s="191" t="s">
        <v>194</v>
      </c>
      <c r="F110" s="189"/>
      <c r="G110" s="190"/>
    </row>
    <row r="111" spans="1:7" x14ac:dyDescent="0.2">
      <c r="A111" s="103" t="s">
        <v>154</v>
      </c>
      <c r="C111" s="8"/>
      <c r="E111" s="7"/>
      <c r="G111" s="8"/>
    </row>
    <row r="112" spans="1:7" ht="16" x14ac:dyDescent="0.2">
      <c r="A112" s="178" t="s">
        <v>32</v>
      </c>
      <c r="B112" s="179"/>
      <c r="C112" s="180"/>
      <c r="D112" s="47"/>
      <c r="E112" s="21"/>
      <c r="F112" s="47"/>
      <c r="G112" s="6"/>
    </row>
    <row r="113" spans="1:7" x14ac:dyDescent="0.2">
      <c r="A113" s="7"/>
      <c r="G113" s="8"/>
    </row>
    <row r="114" spans="1:7" x14ac:dyDescent="0.2">
      <c r="A114" s="181" t="s">
        <v>33</v>
      </c>
      <c r="B114" s="182"/>
      <c r="C114" s="105" t="b">
        <v>1</v>
      </c>
      <c r="D114" s="46" t="s">
        <v>23</v>
      </c>
      <c r="E114" s="101" t="s">
        <v>155</v>
      </c>
      <c r="F114" s="106"/>
      <c r="G114" s="5"/>
    </row>
    <row r="115" spans="1:7" ht="16" x14ac:dyDescent="0.2">
      <c r="A115" s="183"/>
      <c r="B115" s="184"/>
      <c r="C115" s="107" t="b">
        <v>0</v>
      </c>
      <c r="D115" s="47" t="s">
        <v>35</v>
      </c>
      <c r="E115" s="108" t="s">
        <v>34</v>
      </c>
      <c r="F115" s="109"/>
      <c r="G115" s="6"/>
    </row>
    <row r="116" spans="1:7" x14ac:dyDescent="0.2">
      <c r="A116" s="7"/>
      <c r="G116" s="8"/>
    </row>
    <row r="117" spans="1:7" x14ac:dyDescent="0.2">
      <c r="A117" s="185" t="s">
        <v>195</v>
      </c>
      <c r="B117" s="186"/>
      <c r="C117" s="186"/>
      <c r="D117" s="186"/>
      <c r="E117" s="186"/>
      <c r="F117" s="186"/>
      <c r="G117" s="187"/>
    </row>
    <row r="118" spans="1:7" x14ac:dyDescent="0.2">
      <c r="A118" s="142"/>
      <c r="B118" s="143"/>
      <c r="C118" s="143"/>
      <c r="D118" s="143"/>
      <c r="E118" s="143"/>
      <c r="F118" s="143"/>
      <c r="G118" s="144"/>
    </row>
    <row r="119" spans="1:7" x14ac:dyDescent="0.2">
      <c r="A119" s="7"/>
      <c r="G119" s="8"/>
    </row>
    <row r="120" spans="1:7" ht="16" x14ac:dyDescent="0.2">
      <c r="A120" s="110" t="s">
        <v>157</v>
      </c>
      <c r="G120" s="8"/>
    </row>
    <row r="121" spans="1:7" ht="16" x14ac:dyDescent="0.2">
      <c r="A121" s="93" t="s">
        <v>20</v>
      </c>
      <c r="B121" t="s">
        <v>196</v>
      </c>
      <c r="G121" s="8"/>
    </row>
    <row r="122" spans="1:7" ht="16" x14ac:dyDescent="0.2">
      <c r="A122" s="93" t="s">
        <v>20</v>
      </c>
      <c r="B122" s="140" t="s">
        <v>197</v>
      </c>
      <c r="C122" s="140"/>
      <c r="D122" s="140"/>
      <c r="E122" s="140"/>
      <c r="F122" s="140"/>
      <c r="G122" s="141"/>
    </row>
    <row r="123" spans="1:7" x14ac:dyDescent="0.2">
      <c r="A123" s="7"/>
      <c r="B123" s="140"/>
      <c r="C123" s="140"/>
      <c r="D123" s="140"/>
      <c r="E123" s="140"/>
      <c r="F123" s="140"/>
      <c r="G123" s="141"/>
    </row>
    <row r="124" spans="1:7" x14ac:dyDescent="0.2">
      <c r="A124" s="7"/>
      <c r="G124" s="8"/>
    </row>
    <row r="125" spans="1:7" ht="16" x14ac:dyDescent="0.2">
      <c r="A125" s="110" t="s">
        <v>161</v>
      </c>
      <c r="G125" s="8"/>
    </row>
    <row r="126" spans="1:7" x14ac:dyDescent="0.2">
      <c r="A126" s="7"/>
      <c r="G126" s="8"/>
    </row>
    <row r="127" spans="1:7" x14ac:dyDescent="0.2">
      <c r="A127" s="172" t="s">
        <v>198</v>
      </c>
      <c r="B127" s="140"/>
      <c r="C127" s="140"/>
      <c r="D127" s="140"/>
      <c r="E127" s="140"/>
      <c r="F127" s="140"/>
      <c r="G127" s="141"/>
    </row>
    <row r="128" spans="1:7" x14ac:dyDescent="0.2">
      <c r="A128" s="172"/>
      <c r="B128" s="140"/>
      <c r="C128" s="140"/>
      <c r="D128" s="140"/>
      <c r="E128" s="140"/>
      <c r="F128" s="140"/>
      <c r="G128" s="141"/>
    </row>
    <row r="129" spans="1:7" x14ac:dyDescent="0.2">
      <c r="A129" s="7"/>
      <c r="G129" s="8"/>
    </row>
    <row r="130" spans="1:7" ht="16" x14ac:dyDescent="0.2">
      <c r="A130" s="110" t="s">
        <v>173</v>
      </c>
      <c r="G130" s="8"/>
    </row>
    <row r="131" spans="1:7" x14ac:dyDescent="0.2">
      <c r="A131" s="7"/>
      <c r="G131" s="8"/>
    </row>
    <row r="132" spans="1:7" x14ac:dyDescent="0.2">
      <c r="A132" s="172" t="s">
        <v>199</v>
      </c>
      <c r="B132" s="140"/>
      <c r="C132" s="140"/>
      <c r="D132" s="140"/>
      <c r="E132" s="140"/>
      <c r="F132" s="140"/>
      <c r="G132" s="141"/>
    </row>
    <row r="133" spans="1:7" x14ac:dyDescent="0.2">
      <c r="A133" s="172"/>
      <c r="B133" s="140"/>
      <c r="C133" s="140"/>
      <c r="D133" s="140"/>
      <c r="E133" s="140"/>
      <c r="F133" s="140"/>
      <c r="G133" s="141"/>
    </row>
    <row r="134" spans="1:7" x14ac:dyDescent="0.2">
      <c r="A134" s="7"/>
      <c r="G134" s="8"/>
    </row>
    <row r="135" spans="1:7" x14ac:dyDescent="0.2">
      <c r="A135" s="7"/>
      <c r="B135" s="173" t="s">
        <v>175</v>
      </c>
      <c r="C135" s="174"/>
      <c r="D135" s="174"/>
      <c r="E135" s="175"/>
      <c r="F135" s="71" t="s">
        <v>176</v>
      </c>
      <c r="G135" s="8"/>
    </row>
    <row r="136" spans="1:7" x14ac:dyDescent="0.2">
      <c r="A136" s="7"/>
      <c r="B136" s="176" t="s">
        <v>200</v>
      </c>
      <c r="C136" s="177"/>
      <c r="D136" s="177"/>
      <c r="E136" s="177"/>
      <c r="F136" s="44">
        <v>2</v>
      </c>
      <c r="G136" s="8"/>
    </row>
    <row r="137" spans="1:7" x14ac:dyDescent="0.2">
      <c r="A137" s="7"/>
      <c r="B137" s="170" t="s">
        <v>201</v>
      </c>
      <c r="C137" s="171"/>
      <c r="D137" s="171"/>
      <c r="E137" s="171"/>
      <c r="F137" s="44">
        <v>5</v>
      </c>
      <c r="G137" s="8"/>
    </row>
    <row r="138" spans="1:7" x14ac:dyDescent="0.2">
      <c r="A138" s="7"/>
      <c r="B138" s="170" t="s">
        <v>202</v>
      </c>
      <c r="C138" s="171"/>
      <c r="D138" s="171"/>
      <c r="E138" s="171"/>
      <c r="F138" s="44">
        <v>10</v>
      </c>
      <c r="G138" s="8"/>
    </row>
    <row r="139" spans="1:7" x14ac:dyDescent="0.2">
      <c r="A139" s="7"/>
      <c r="B139" s="170" t="s">
        <v>203</v>
      </c>
      <c r="C139" s="171"/>
      <c r="D139" s="171"/>
      <c r="E139" s="171"/>
      <c r="F139" s="44">
        <v>6</v>
      </c>
      <c r="G139" s="8"/>
    </row>
    <row r="140" spans="1:7" x14ac:dyDescent="0.2">
      <c r="A140" s="7"/>
      <c r="B140" s="170" t="s">
        <v>204</v>
      </c>
      <c r="C140" s="171"/>
      <c r="D140" s="171"/>
      <c r="E140" s="171"/>
      <c r="F140" s="44">
        <v>3</v>
      </c>
      <c r="G140" s="8"/>
    </row>
    <row r="141" spans="1:7" x14ac:dyDescent="0.2">
      <c r="A141" s="7"/>
      <c r="B141" s="170" t="s">
        <v>102</v>
      </c>
      <c r="C141" s="171"/>
      <c r="D141" s="171"/>
      <c r="E141" s="171"/>
      <c r="F141" s="44">
        <v>4</v>
      </c>
      <c r="G141" s="8"/>
    </row>
    <row r="142" spans="1:7" x14ac:dyDescent="0.2">
      <c r="A142" s="7"/>
      <c r="G142" s="8"/>
    </row>
    <row r="143" spans="1:7" ht="16" x14ac:dyDescent="0.2">
      <c r="A143" s="110" t="s">
        <v>205</v>
      </c>
      <c r="G143" s="8"/>
    </row>
    <row r="144" spans="1:7" x14ac:dyDescent="0.2">
      <c r="A144" s="7" t="s">
        <v>206</v>
      </c>
      <c r="G144" s="8"/>
    </row>
    <row r="145" spans="1:7" x14ac:dyDescent="0.2">
      <c r="A145" s="7"/>
      <c r="G145" s="8"/>
    </row>
    <row r="146" spans="1:7" ht="16" x14ac:dyDescent="0.2">
      <c r="A146" s="110" t="s">
        <v>184</v>
      </c>
      <c r="G146" s="8"/>
    </row>
    <row r="147" spans="1:7" x14ac:dyDescent="0.2">
      <c r="A147" s="172" t="s">
        <v>185</v>
      </c>
      <c r="B147" s="140"/>
      <c r="C147" s="140"/>
      <c r="D147" s="140"/>
      <c r="E147" s="140"/>
      <c r="F147" s="140"/>
      <c r="G147" s="141"/>
    </row>
    <row r="148" spans="1:7" x14ac:dyDescent="0.2">
      <c r="A148" s="172"/>
      <c r="B148" s="140"/>
      <c r="C148" s="140"/>
      <c r="D148" s="140"/>
      <c r="E148" s="140"/>
      <c r="F148" s="140"/>
      <c r="G148" s="141"/>
    </row>
    <row r="149" spans="1:7" x14ac:dyDescent="0.2">
      <c r="A149" s="21"/>
      <c r="B149" s="47"/>
      <c r="C149" s="47"/>
      <c r="D149" s="47"/>
      <c r="E149" s="47"/>
      <c r="F149" s="47"/>
      <c r="G149" s="6"/>
    </row>
    <row r="150" spans="1:7" x14ac:dyDescent="0.2">
      <c r="A150" s="1"/>
      <c r="B150" s="1"/>
      <c r="C150" s="1"/>
      <c r="D150" s="1"/>
      <c r="E150" s="1"/>
      <c r="F150" s="1"/>
    </row>
    <row r="151" spans="1:7" x14ac:dyDescent="0.2">
      <c r="A151" s="1"/>
      <c r="B151" s="1"/>
      <c r="C151" s="1"/>
      <c r="D151" s="1"/>
      <c r="E151" s="1"/>
      <c r="F151" s="1"/>
    </row>
    <row r="152" spans="1:7" x14ac:dyDescent="0.2">
      <c r="A152" s="1"/>
      <c r="B152" s="1"/>
      <c r="C152" s="1"/>
      <c r="D152" s="1"/>
      <c r="E152" s="1"/>
      <c r="F152" s="1"/>
    </row>
    <row r="153" spans="1:7" x14ac:dyDescent="0.2">
      <c r="A153" s="18"/>
      <c r="B153" s="46"/>
      <c r="C153" s="46"/>
      <c r="D153" s="46"/>
      <c r="E153" s="46"/>
      <c r="F153" s="46"/>
      <c r="G153" s="5"/>
    </row>
    <row r="154" spans="1:7" x14ac:dyDescent="0.2">
      <c r="A154" s="193" t="s">
        <v>186</v>
      </c>
      <c r="B154" s="194"/>
      <c r="C154" s="194"/>
      <c r="D154" s="194"/>
      <c r="E154" s="194"/>
      <c r="F154" s="194"/>
      <c r="G154" s="195"/>
    </row>
    <row r="155" spans="1:7" x14ac:dyDescent="0.2">
      <c r="A155" s="193"/>
      <c r="B155" s="194"/>
      <c r="C155" s="194"/>
      <c r="D155" s="194"/>
      <c r="E155" s="194"/>
      <c r="F155" s="194"/>
      <c r="G155" s="195"/>
    </row>
    <row r="156" spans="1:7" x14ac:dyDescent="0.2">
      <c r="A156" s="7"/>
      <c r="G156" s="8"/>
    </row>
    <row r="157" spans="1:7" ht="16" x14ac:dyDescent="0.2">
      <c r="A157" s="110" t="s">
        <v>187</v>
      </c>
      <c r="G157" s="8"/>
    </row>
    <row r="158" spans="1:7" x14ac:dyDescent="0.2">
      <c r="A158" s="7" t="s">
        <v>188</v>
      </c>
      <c r="G158" s="8"/>
    </row>
    <row r="159" spans="1:7" x14ac:dyDescent="0.2">
      <c r="A159" s="7"/>
      <c r="G159" s="8"/>
    </row>
    <row r="160" spans="1:7" x14ac:dyDescent="0.2">
      <c r="A160" s="142" t="s">
        <v>189</v>
      </c>
      <c r="B160" s="143"/>
      <c r="C160" s="143"/>
      <c r="D160" s="143"/>
      <c r="E160" s="143"/>
      <c r="F160" s="143"/>
      <c r="G160" s="144"/>
    </row>
    <row r="161" spans="1:7" x14ac:dyDescent="0.2">
      <c r="A161" s="142"/>
      <c r="B161" s="143"/>
      <c r="C161" s="143"/>
      <c r="D161" s="143"/>
      <c r="E161" s="143"/>
      <c r="F161" s="143"/>
      <c r="G161" s="144"/>
    </row>
    <row r="162" spans="1:7" x14ac:dyDescent="0.2">
      <c r="A162" s="142"/>
      <c r="B162" s="143"/>
      <c r="C162" s="143"/>
      <c r="D162" s="143"/>
      <c r="E162" s="143"/>
      <c r="F162" s="143"/>
      <c r="G162" s="144"/>
    </row>
    <row r="163" spans="1:7" x14ac:dyDescent="0.2">
      <c r="A163" s="142"/>
      <c r="B163" s="143"/>
      <c r="C163" s="143"/>
      <c r="D163" s="143"/>
      <c r="E163" s="143"/>
      <c r="F163" s="143"/>
      <c r="G163" s="144"/>
    </row>
    <row r="164" spans="1:7" x14ac:dyDescent="0.2">
      <c r="A164" s="7"/>
      <c r="G164" s="8"/>
    </row>
    <row r="165" spans="1:7" x14ac:dyDescent="0.2">
      <c r="A165" s="172" t="s">
        <v>190</v>
      </c>
      <c r="B165" s="140"/>
      <c r="C165" s="140"/>
      <c r="D165" s="140"/>
      <c r="E165" s="140"/>
      <c r="F165" s="140"/>
      <c r="G165" s="141"/>
    </row>
    <row r="166" spans="1:7" x14ac:dyDescent="0.2">
      <c r="A166" s="172"/>
      <c r="B166" s="140"/>
      <c r="C166" s="140"/>
      <c r="D166" s="140"/>
      <c r="E166" s="140"/>
      <c r="F166" s="140"/>
      <c r="G166" s="141"/>
    </row>
    <row r="167" spans="1:7" x14ac:dyDescent="0.2">
      <c r="A167" s="7"/>
      <c r="G167" s="8"/>
    </row>
    <row r="168" spans="1:7" x14ac:dyDescent="0.2">
      <c r="A168" s="7"/>
      <c r="B168" s="114" t="s">
        <v>191</v>
      </c>
      <c r="E168" s="114" t="s">
        <v>192</v>
      </c>
      <c r="G168" s="8"/>
    </row>
    <row r="169" spans="1:7" x14ac:dyDescent="0.2">
      <c r="A169" s="21"/>
      <c r="B169" s="47"/>
      <c r="C169" s="47"/>
      <c r="D169" s="47"/>
      <c r="E169" s="47"/>
      <c r="F169" s="47"/>
      <c r="G169" s="6"/>
    </row>
  </sheetData>
  <mergeCells count="57">
    <mergeCell ref="A154:G155"/>
    <mergeCell ref="A160:G163"/>
    <mergeCell ref="A165:G166"/>
    <mergeCell ref="A11:C11"/>
    <mergeCell ref="A13:B14"/>
    <mergeCell ref="A16:G17"/>
    <mergeCell ref="B20:G21"/>
    <mergeCell ref="B23:G24"/>
    <mergeCell ref="A28:G29"/>
    <mergeCell ref="B33:G34"/>
    <mergeCell ref="B39:G42"/>
    <mergeCell ref="B43:G44"/>
    <mergeCell ref="B52:G53"/>
    <mergeCell ref="B54:G59"/>
    <mergeCell ref="B64:E64"/>
    <mergeCell ref="B65:E65"/>
    <mergeCell ref="A1:G1"/>
    <mergeCell ref="A3:C3"/>
    <mergeCell ref="E3:G3"/>
    <mergeCell ref="A5:C5"/>
    <mergeCell ref="E5:G5"/>
    <mergeCell ref="A7:C7"/>
    <mergeCell ref="E7:G7"/>
    <mergeCell ref="A9:C9"/>
    <mergeCell ref="E9:G9"/>
    <mergeCell ref="B45:G46"/>
    <mergeCell ref="B66:E66"/>
    <mergeCell ref="B67:E67"/>
    <mergeCell ref="B68:E68"/>
    <mergeCell ref="B69:E69"/>
    <mergeCell ref="A75:G76"/>
    <mergeCell ref="A78:G79"/>
    <mergeCell ref="A84:G87"/>
    <mergeCell ref="A89:G90"/>
    <mergeCell ref="A102:G102"/>
    <mergeCell ref="A104:C104"/>
    <mergeCell ref="E104:G104"/>
    <mergeCell ref="A106:C106"/>
    <mergeCell ref="E106:G106"/>
    <mergeCell ref="A108:C108"/>
    <mergeCell ref="E108:G108"/>
    <mergeCell ref="A110:C110"/>
    <mergeCell ref="E110:G110"/>
    <mergeCell ref="A112:C112"/>
    <mergeCell ref="A114:B115"/>
    <mergeCell ref="A117:G118"/>
    <mergeCell ref="B122:G123"/>
    <mergeCell ref="A127:G128"/>
    <mergeCell ref="B139:E139"/>
    <mergeCell ref="B140:E140"/>
    <mergeCell ref="B141:E141"/>
    <mergeCell ref="A147:G148"/>
    <mergeCell ref="A132:G133"/>
    <mergeCell ref="B135:E135"/>
    <mergeCell ref="B136:E136"/>
    <mergeCell ref="B137:E137"/>
    <mergeCell ref="B138:E138"/>
  </mergeCells>
  <hyperlinks>
    <hyperlink ref="B92" r:id="rId1" xr:uid="{DC2EB34F-7386-4648-A6F1-B8E45FC4764E}"/>
    <hyperlink ref="E92" r:id="rId2" xr:uid="{FE3C2552-957A-2346-A56D-95ADD07F4A21}"/>
    <hyperlink ref="B168" r:id="rId3" display="Academic Integrity " xr:uid="{2CA04475-9AC0-8B4C-8F49-57BA8D66B72C}"/>
    <hyperlink ref="E168" r:id="rId4" xr:uid="{836189D5-6F4C-1C41-990A-A2032C6033B0}"/>
  </hyperlinks>
  <pageMargins left="0.7" right="0.7" top="0.75" bottom="0.75" header="0.3" footer="0.3"/>
  <pageSetup paperSize="9" fitToHeight="0"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FE44C-9441-8849-A517-42DF27546C37}">
  <sheetPr codeName="Sheet6">
    <pageSetUpPr fitToPage="1"/>
  </sheetPr>
  <dimension ref="A2:B2"/>
  <sheetViews>
    <sheetView workbookViewId="0"/>
  </sheetViews>
  <sheetFormatPr baseColWidth="10" defaultRowHeight="15" x14ac:dyDescent="0.2"/>
  <sheetData>
    <row r="2" spans="1:2" x14ac:dyDescent="0.2">
      <c r="A2" t="s">
        <v>208</v>
      </c>
      <c r="B2" t="s">
        <v>207</v>
      </c>
    </row>
  </sheetData>
  <pageMargins left="0.5" right="0.5" top="0.5" bottom="0.5" header="0.3" footer="0.3"/>
  <pageSetup paperSize="9" fitToHeight="0"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O7FLGWDSNJUKL2W2OVG37HVOPTUYY3SM:ms-officescript%3A%2F%2Fonedrive_business_sharinglink%2Fu!aHR0cHM6Ly9jZGV0Yi1teS5zaGFyZXBvaW50LmNvbS86dTovZy9wZXJzb25hbC9qYW1pZV9tY2NhcnRoeV95cmNydW1saW5fY2RldGJfaWUvSVFCeWFtaWw2dHAxVGItZXJuenBqRzVNQVpDZmQ1ZDhVM3J6Q0tIR1ZMTkJFVGM"/>
  <scriptId xmlns="" id="ms-officescript%3A%2F%2Fonedrive_business_itemlink%2F01O7FLGWGMZKOHG72M4RDIHL4JH6RVMTXU:ms-officescript%3A%2F%2Fonedrive_business_sharinglink%2Fu!aHR0cHM6Ly9jZGV0Yi1teS5zaGFyZXBvaW50LmNvbS86dTovZy9wZXJzb25hbC9qYW1pZV9tY2NhcnRoeV95cmNydW1saW5fY2RldGJfaWUvSVFETXlweHpmMHprUm9PdmlULWpWazcwQVhXVFZoT0FyQzRPQWNKZzBUNUJFV1U"/>
</scriptIds>
</file>

<file path=customXml/itemProps1.xml><?xml version="1.0" encoding="utf-8"?>
<ds:datastoreItem xmlns:ds="http://schemas.openxmlformats.org/officeDocument/2006/customXml" ds:itemID="{CFAB3010-B32D-6D41-B209-217C6EC7997A}">
  <ds:schemaRefs>
    <ds:schemaRef ds:uri="http://schemas.microsoft.com/office/extensibility/maker/v1.0"/>
    <ds:schemaRef ds:uri=""/>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21</vt:i4>
      </vt:variant>
    </vt:vector>
  </HeadingPairs>
  <TitlesOfParts>
    <vt:vector size="27" baseType="lpstr">
      <vt:lpstr>config</vt:lpstr>
      <vt:lpstr>learnerList</vt:lpstr>
      <vt:lpstr>gradeSheet</vt:lpstr>
      <vt:lpstr>markingTemplate</vt:lpstr>
      <vt:lpstr>briefTemplate</vt:lpstr>
      <vt:lpstr>RunLog</vt:lpstr>
      <vt:lpstr>BriefNameCell</vt:lpstr>
      <vt:lpstr>BriefProofScoreCell</vt:lpstr>
      <vt:lpstr>BriefSectionTwoScoreCell</vt:lpstr>
      <vt:lpstr>BriefSpeedScoreCell</vt:lpstr>
      <vt:lpstr>LearnerNameCell</vt:lpstr>
      <vt:lpstr>markingNameCell</vt:lpstr>
      <vt:lpstr>SectionOneComp1</vt:lpstr>
      <vt:lpstr>SectionOneComp2</vt:lpstr>
      <vt:lpstr>SectionOneP1</vt:lpstr>
      <vt:lpstr>SectionOneP2</vt:lpstr>
      <vt:lpstr>SectionOneP3</vt:lpstr>
      <vt:lpstr>SectionOneP4</vt:lpstr>
      <vt:lpstr>SectionOneP5</vt:lpstr>
      <vt:lpstr>SectionThreeP1</vt:lpstr>
      <vt:lpstr>SectionThreeP2</vt:lpstr>
      <vt:lpstr>SectionTwoP1</vt:lpstr>
      <vt:lpstr>SectionTwoP2</vt:lpstr>
      <vt:lpstr>SectionTwoP3</vt:lpstr>
      <vt:lpstr>SectionTwoP4</vt:lpstr>
      <vt:lpstr>SectionTwoP5</vt:lpstr>
      <vt:lpstr>SectionTwoP6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Jamie McCarthy</cp:lastModifiedBy>
  <cp:lastPrinted>2026-03-04T12:19:50Z</cp:lastPrinted>
  <dcterms:created xsi:type="dcterms:W3CDTF">2026-01-30T11:47:19Z</dcterms:created>
  <dcterms:modified xsi:type="dcterms:W3CDTF">2026-03-12T14:13:35Z</dcterms:modified>
</cp:coreProperties>
</file>